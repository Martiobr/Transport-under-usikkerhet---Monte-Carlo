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uter" sheetId="1" state="visible" r:id="rId3"/>
    <sheet name="Kostnadsmodeller" sheetId="2" state="visible" r:id="rId4"/>
    <sheet name="Charts" sheetId="3" state="visible" r:id="rId5"/>
    <sheet name="Stokastiske_parametere" sheetId="4" state="visible" r:id="rId6"/>
    <sheet name="Kostnadsparametere_M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<sst xmlns="http://schemas.openxmlformats.org/spreadsheetml/2006/main" count="503" uniqueCount="180">
  <si>
    <t xml:space="preserve">RuteID</t>
  </si>
  <si>
    <t xml:space="preserve">Rute R1</t>
  </si>
  <si>
    <t xml:space="preserve">Segment</t>
  </si>
  <si>
    <t xml:space="preserve">Segmenttype</t>
  </si>
  <si>
    <t xml:space="preserve">Mode</t>
  </si>
  <si>
    <t xml:space="preserve">Fra</t>
  </si>
  <si>
    <t xml:space="preserve">Til</t>
  </si>
  <si>
    <t xml:space="preserve">Distanse km</t>
  </si>
  <si>
    <t xml:space="preserve">Gj.snitt Hastighet km/t</t>
  </si>
  <si>
    <t xml:space="preserve">Transporttid timer</t>
  </si>
  <si>
    <t xml:space="preserve">Terminaltid timer</t>
  </si>
  <si>
    <t xml:space="preserve">Ventetid (timer)</t>
  </si>
  <si>
    <t xml:space="preserve">Segementtid</t>
  </si>
  <si>
    <t xml:space="preserve">Omlastninger</t>
  </si>
  <si>
    <t xml:space="preserve">Grenseforsinkelse (timer)</t>
  </si>
  <si>
    <t xml:space="preserve">Dager reist</t>
  </si>
  <si>
    <t xml:space="preserve">Routsecanner</t>
  </si>
  <si>
    <t xml:space="preserve">R1</t>
  </si>
  <si>
    <t xml:space="preserve">Main haul</t>
  </si>
  <si>
    <t xml:space="preserve">Sjø</t>
  </si>
  <si>
    <t xml:space="preserve">Karmøy</t>
  </si>
  <si>
    <t xml:space="preserve">Rostock</t>
  </si>
  <si>
    <t xml:space="preserve">rail1</t>
  </si>
  <si>
    <t xml:space="preserve">Bratislava</t>
  </si>
  <si>
    <t xml:space="preserve">Terminal transfer</t>
  </si>
  <si>
    <t xml:space="preserve">Truck</t>
  </si>
  <si>
    <t xml:space="preserve">Terminal</t>
  </si>
  <si>
    <t xml:space="preserve">terminal</t>
  </si>
  <si>
    <t xml:space="preserve">rail2</t>
  </si>
  <si>
    <t xml:space="preserve">Koper</t>
  </si>
  <si>
    <t xml:space="preserve">Final haul</t>
  </si>
  <si>
    <t xml:space="preserve">rail3</t>
  </si>
  <si>
    <t xml:space="preserve">Beograd</t>
  </si>
  <si>
    <t xml:space="preserve">Totalt</t>
  </si>
  <si>
    <t xml:space="preserve">dager</t>
  </si>
  <si>
    <t xml:space="preserve">Rute R2</t>
  </si>
  <si>
    <t xml:space="preserve">GJ Hastighet km/t</t>
  </si>
  <si>
    <t xml:space="preserve">R2</t>
  </si>
  <si>
    <t xml:space="preserve">Hamburg</t>
  </si>
  <si>
    <t xml:space="preserve">Rail</t>
  </si>
  <si>
    <t xml:space="preserve">München</t>
  </si>
  <si>
    <t xml:space="preserve">Ljubljana</t>
  </si>
  <si>
    <t xml:space="preserve">Rute R3</t>
  </si>
  <si>
    <t xml:space="preserve">R3</t>
  </si>
  <si>
    <t xml:space="preserve">Rotterdam</t>
  </si>
  <si>
    <t xml:space="preserve">Munchen</t>
  </si>
  <si>
    <t xml:space="preserve">Rute R4</t>
  </si>
  <si>
    <t xml:space="preserve">R4</t>
  </si>
  <si>
    <t xml:space="preserve">Wien</t>
  </si>
  <si>
    <t xml:space="preserve">Koper </t>
  </si>
  <si>
    <t xml:space="preserve">dagaer</t>
  </si>
  <si>
    <t xml:space="preserve">Rute R5</t>
  </si>
  <si>
    <t xml:space="preserve">R5</t>
  </si>
  <si>
    <t xml:space="preserve">Bar (Montenegro)</t>
  </si>
  <si>
    <t xml:space="preserve">faktorer</t>
  </si>
  <si>
    <t xml:space="preserve">Valuta</t>
  </si>
  <si>
    <t xml:space="preserve">Direkte Kostnader</t>
  </si>
  <si>
    <t xml:space="preserve">Terminal kostnader</t>
  </si>
  <si>
    <t xml:space="preserve">Tidskostnad (VFTTS)</t>
  </si>
  <si>
    <t xml:space="preserve">Generaliserte kostnader</t>
  </si>
  <si>
    <t xml:space="preserve">VFTTS (kr/time)</t>
  </si>
  <si>
    <t xml:space="preserve">Kilde: De Jong et al. (2004/2007); 30-50 EUR/time for veitransport (konservativt estimat)</t>
  </si>
  <si>
    <t xml:space="preserve">Rail kostnad pr tonn-km</t>
  </si>
  <si>
    <t xml:space="preserve">Kilde: EU RECORDIT (2003); typisk 0.04-0.10 EUR/tonn-km for intermodal Europa</t>
  </si>
  <si>
    <t xml:space="preserve">Sjø fast kostnad RoRo </t>
  </si>
  <si>
    <t xml:space="preserve">Vei kostnad pr tonn-km</t>
  </si>
  <si>
    <t xml:space="preserve">Kilde: IRU/Upply Q4 2024 ~€1.20/km ÷ 24t = 0.583 kr/tonn-km</t>
  </si>
  <si>
    <t xml:space="preserve">Slovenia</t>
  </si>
  <si>
    <t xml:space="preserve">Terminal omlastning</t>
  </si>
  <si>
    <t xml:space="preserve">Simple transfer (Rail→Rail)</t>
  </si>
  <si>
    <t xml:space="preserve">Complex transfer (Rail→Truck/Sjø)</t>
  </si>
  <si>
    <t xml:space="preserve">Lastemengde (tonn/trailer)</t>
  </si>
  <si>
    <t xml:space="preserve">Kilde: Hydro (e-post, høst 2024); 24-25 tonn avh. av land</t>
  </si>
  <si>
    <t xml:space="preserve">Ruter</t>
  </si>
  <si>
    <t xml:space="preserve">Ledetid timer</t>
  </si>
  <si>
    <t xml:space="preserve">STOKASTISKE PARAMETERE FOR MONTE CARLO-SIMULERING</t>
  </si>
  <si>
    <t xml:space="preserve">Endre verdier i gule celler for å justere usikkerhet. Python-skriptet leser direkte herfra.</t>
  </si>
  <si>
    <t xml:space="preserve">1. Transporttid pr modus — Lognormal fordeling</t>
  </si>
  <si>
    <t xml:space="preserve">Fordeling</t>
  </si>
  <si>
    <t xml:space="preserve">CV (σ/μ)</t>
  </si>
  <si>
    <t xml:space="preserve">Kommentar</t>
  </si>
  <si>
    <t xml:space="preserve">Kilde</t>
  </si>
  <si>
    <t xml:space="preserve">lognormal</t>
  </si>
  <si>
    <t xml:space="preserve">RoRo short-sea Nordsjøen; værforsinkelser</t>
  </si>
  <si>
    <t xml:space="preserve">Andersson et al. (2017); bransjenorm</t>
  </si>
  <si>
    <t xml:space="preserve">Sjø_havgaaende</t>
  </si>
  <si>
    <t xml:space="preserve">Lengre havreise (R5: Rotterdam-Bar); mer væreksp.</t>
  </si>
  <si>
    <t xml:space="preserve">Andersson et al. (2017)</t>
  </si>
  <si>
    <t xml:space="preserve">Intermodal jernbane; gods-prio under passasjer</t>
  </si>
  <si>
    <t xml:space="preserve">Demiridis &amp; Pyrgidis (2022); Demir et al. (2016)</t>
  </si>
  <si>
    <t xml:space="preserve">Intermodal jernbane; korridoreffekter</t>
  </si>
  <si>
    <t xml:space="preserve">Demiridis &amp; Pyrgidis (2022)</t>
  </si>
  <si>
    <t xml:space="preserve">Intermodal jernbane; siste segment til Beograd</t>
  </si>
  <si>
    <t xml:space="preserve">Generisk jernbane (R2-R4)</t>
  </si>
  <si>
    <t xml:space="preserve">Lastebil; mest forutsigbar mode</t>
  </si>
  <si>
    <t xml:space="preserve">de Jong (2014); Janic (2007)</t>
  </si>
  <si>
    <t xml:space="preserve">2. Terminaltid pr modus — Triangulær(min, mode, max) i timer</t>
  </si>
  <si>
    <t xml:space="preserve">Mode/segmenttype</t>
  </si>
  <si>
    <t xml:space="preserve">Min</t>
  </si>
  <si>
    <t xml:space="preserve">Mode (= Excel-verdi)</t>
  </si>
  <si>
    <t xml:space="preserve">Max</t>
  </si>
  <si>
    <t xml:space="preserve">Havneoperasjon RoRo; lossing+lasting+dokumentkontroll</t>
  </si>
  <si>
    <t xml:space="preserve">Bransjeestimat (Hanssen et al. 2012 indirekte)</t>
  </si>
  <si>
    <t xml:space="preserve">Større havgående havn (Bar); litt lengre min</t>
  </si>
  <si>
    <t xml:space="preserve">Bransjeestimat</t>
  </si>
  <si>
    <t xml:space="preserve">Intermodal kranoperasjon; kø ved kapasitetspress</t>
  </si>
  <si>
    <t xml:space="preserve">Wiegmans &amp; Behdani (2018); Mandouri et al. (2023)</t>
  </si>
  <si>
    <t xml:space="preserve">Som Rail</t>
  </si>
  <si>
    <t xml:space="preserve">Wiegmans &amp; Behdani (2018)</t>
  </si>
  <si>
    <t xml:space="preserve">Sluttterminal; ofte raskere uten videre omlasting</t>
  </si>
  <si>
    <t xml:space="preserve">Direkte levering eller kort terminalstopp</t>
  </si>
  <si>
    <t xml:space="preserve">Janic (2007)</t>
  </si>
  <si>
    <t xml:space="preserve">3. Ventetid pr modus — Uniform[0, 2·mean] i timer</t>
  </si>
  <si>
    <t xml:space="preserve">Begrunnelse: Hvis avsender bommer på avgang, ventes til neste. Med periodiske avganger fordeles ventetid uniformt fra 0 til hele headway-tiden (kø-teori, M/D/1 approksimasjon).</t>
  </si>
  <si>
    <t xml:space="preserve">Headway (=2·Excel-mean) timer</t>
  </si>
  <si>
    <t xml:space="preserve">Avgangsfrekvens</t>
  </si>
  <si>
    <t xml:space="preserve">2-3 avg./uke (Sea-Cargo)</t>
  </si>
  <si>
    <t xml:space="preserve">Sea-Cargo AS (2025)</t>
  </si>
  <si>
    <t xml:space="preserve">2-3 avg./uke</t>
  </si>
  <si>
    <t xml:space="preserve">Antakelse</t>
  </si>
  <si>
    <t xml:space="preserve">7-10 avg./uke</t>
  </si>
  <si>
    <t xml:space="preserve">METRANS (2024); Adria Kombi (2025)</t>
  </si>
  <si>
    <t xml:space="preserve">METRANS (2024)</t>
  </si>
  <si>
    <t xml:space="preserve">Ingen fast avgang</t>
  </si>
  <si>
    <t xml:space="preserve">4. Grenseforsinkelse — Triangulær(min, mode, max) i timer</t>
  </si>
  <si>
    <t xml:space="preserve">Grense</t>
  </si>
  <si>
    <t xml:space="preserve">Norge_EU</t>
  </si>
  <si>
    <t xml:space="preserve">EØS; forenklet tollprosedyre</t>
  </si>
  <si>
    <t xml:space="preserve">EØS-avtalen</t>
  </si>
  <si>
    <t xml:space="preserve">EU_Serbia</t>
  </si>
  <si>
    <t xml:space="preserve">Serbia ikke-EU; Horgoš/Batrovci</t>
  </si>
  <si>
    <t xml:space="preserve">EU Delegation to Serbia (2019)</t>
  </si>
  <si>
    <t xml:space="preserve">Schengen_intern</t>
  </si>
  <si>
    <t xml:space="preserve">Ingen kontroll</t>
  </si>
  <si>
    <t xml:space="preserve">Schengen-avtalen</t>
  </si>
  <si>
    <t xml:space="preserve">5. Disrupsjons-risiko (sjeldne forsinkelser) — pr segment</t>
  </si>
  <si>
    <t xml:space="preserve">Modellerer "long tail risk" (Christopher 2016): liten sannsynlighet for stor forsinkelse. Triangulær fordeling for forsinkelseslengde GITT at hendelse inntreffer.</t>
  </si>
  <si>
    <t xml:space="preserve">P(disrupsjon) pr segment</t>
  </si>
  <si>
    <t xml:space="preserve">Forsinkelse min (t)</t>
  </si>
  <si>
    <t xml:space="preserve">mode (t)</t>
  </si>
  <si>
    <t xml:space="preserve">max (t)</t>
  </si>
  <si>
    <t xml:space="preserve">Eksempler</t>
  </si>
  <si>
    <t xml:space="preserve">Storm, havnestreik</t>
  </si>
  <si>
    <t xml:space="preserve">Værvindu Middelhavet</t>
  </si>
  <si>
    <t xml:space="preserve">Sporarbeid, kapasitetskonflikt, lokfeil</t>
  </si>
  <si>
    <t xml:space="preserve">Trafikkulykke, vegstenging</t>
  </si>
  <si>
    <t xml:space="preserve">6. Monte Carlo-innstillinger</t>
  </si>
  <si>
    <t xml:space="preserve">Parameter</t>
  </si>
  <si>
    <t xml:space="preserve">Verdi</t>
  </si>
  <si>
    <t xml:space="preserve">N_simuleringer</t>
  </si>
  <si>
    <t xml:space="preserve">Antall iterasjoner pr rute. 10k gir stabile P10/P90.</t>
  </si>
  <si>
    <t xml:space="preserve">Random_seed</t>
  </si>
  <si>
    <t xml:space="preserve">For reproduserbare resultater. Endre for nye trekkrunder.</t>
  </si>
  <si>
    <t xml:space="preserve">Inkluder_disrupsjoner</t>
  </si>
  <si>
    <t xml:space="preserve">1 = ja, 0 = nei. Slå av for å se ren operasjonell variasjon.</t>
  </si>
  <si>
    <t xml:space="preserve">KOSTNADSPARAMETERE FOR GC-BEREGNING</t>
  </si>
  <si>
    <t xml:space="preserve">Speiler verdiene i Kostnadsmodeller-arket. Endre i gule celler.</t>
  </si>
  <si>
    <t xml:space="preserve">Enhet</t>
  </si>
  <si>
    <t xml:space="preserve">VFTTS_alfa</t>
  </si>
  <si>
    <t xml:space="preserve">kr/time</t>
  </si>
  <si>
    <t xml:space="preserve">Halse et al. (2019); 13.6 kr/tonn-time × 24 tonn</t>
  </si>
  <si>
    <t xml:space="preserve">Reliability_ratio_RR</t>
  </si>
  <si>
    <t xml:space="preserve">-</t>
  </si>
  <si>
    <t xml:space="preserve">Halse et al. (2019); β = RR · α</t>
  </si>
  <si>
    <t xml:space="preserve">Rail_kostnad_per_tonn_km</t>
  </si>
  <si>
    <t xml:space="preserve">kr/tonn-km</t>
  </si>
  <si>
    <t xml:space="preserve">EU RECORDIT (2003)</t>
  </si>
  <si>
    <t xml:space="preserve">Vei_kostnad_per_tonn_km</t>
  </si>
  <si>
    <t xml:space="preserve">IRU/Upply Q4 2024</t>
  </si>
  <si>
    <t xml:space="preserve">Sjø_fast_RoRo</t>
  </si>
  <si>
    <t xml:space="preserve">kr/sending</t>
  </si>
  <si>
    <t xml:space="preserve">Terminal_simple</t>
  </si>
  <si>
    <t xml:space="preserve">kr/omlasting</t>
  </si>
  <si>
    <t xml:space="preserve">Terminal_complex</t>
  </si>
  <si>
    <t xml:space="preserve">Lastemengde_tonn</t>
  </si>
  <si>
    <t xml:space="preserve">tonn/trailer</t>
  </si>
  <si>
    <t xml:space="preserve">Hydro (e-post høst 2024)</t>
  </si>
  <si>
    <t xml:space="preserve">Pålitelighetsledd β · σ(t) i GC:</t>
  </si>
  <si>
    <t xml:space="preserve">  β = RR · α = 0.8 · 330 = 264 kr/time</t>
  </si>
  <si>
    <t xml:space="preserve">  Brukes til å verdsette redusert ledetidsvariabilitet (Andersson et al. 2017).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</si>
</sst>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General"/>
    <numFmt numFmtId="167" formatCode="_-&quot;kr &quot;* #,##0.00_-;&quot;-kr &quot;* #,##0.00_-;_-&quot;kr &quot;* \-??_-;_-@_-"/>
    <numFmt numFmtId="168" formatCode="0"/>
    <numFmt numFmtId="169" formatCode="_(&quot;kr&quot;* #,##0.00_);_(&quot;kr&quot;* \(#,##0.00\);_(&quot;kr&quot;* \-??_);_(@_)"/>
    <numFmt numFmtId="170" formatCode="0.00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theme="1"/>
      <name val="Aptos Narrow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0"/>
      <name val="Arial"/>
      <family val="0"/>
      <charset val="1"/>
    </font>
    <font>
      <sz val="9"/>
      <color rgb="FF595959"/>
      <name val="Aptos Narrow"/>
      <family val="2"/>
    </font>
    <font>
      <b val="true"/>
      <sz val="14"/>
      <color rgb="FF30549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305496"/>
      <name val="Arial"/>
      <family val="0"/>
      <charset val="1"/>
    </font>
    <font>
      <sz val="11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305496"/>
        <bgColor rgb="FF156082"/>
      </patternFill>
    </fill>
    <fill>
      <patternFill patternType="solid">
        <fgColor theme="2" tint="-0.1"/>
        <bgColor rgb="FFD9D9D9"/>
      </patternFill>
    </fill>
    <fill>
      <patternFill patternType="solid">
        <fgColor rgb="FFFFFF99"/>
        <bgColor rgb="FFFFF2CC"/>
      </patternFill>
    </fill>
    <fill>
      <patternFill patternType="solid">
        <fgColor theme="9" tint="0.7998"/>
        <bgColor rgb="FFD9D9D9"/>
      </patternFill>
    </fill>
    <fill>
      <patternFill patternType="solid">
        <fgColor theme="2" tint="-0.25"/>
        <bgColor rgb="FFB4B4B4"/>
      </patternFill>
    </fill>
    <fill>
      <patternFill patternType="solid">
        <fgColor rgb="FFFFD966"/>
        <bgColor rgb="FFF6C6AD"/>
      </patternFill>
    </fill>
    <fill>
      <patternFill patternType="solid">
        <fgColor theme="4" tint="0.5998"/>
        <bgColor rgb="FF96DCF8"/>
      </patternFill>
    </fill>
    <fill>
      <patternFill patternType="solid">
        <fgColor theme="5" tint="0.5998"/>
        <bgColor rgb="FFD1D1D1"/>
      </patternFill>
    </fill>
    <fill>
      <patternFill patternType="solid">
        <fgColor rgb="FFFFF2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1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4B4B4"/>
      <rgbColor rgb="FF808080"/>
      <rgbColor rgb="FF83CBEB"/>
      <rgbColor rgb="FF993366"/>
      <rgbColor rgb="FFFFF2CC"/>
      <rgbColor rgb="FFD9D9D9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FFF99"/>
      <rgbColor rgb="FF96DCF8"/>
      <rgbColor rgb="FFFF99CC"/>
      <rgbColor rgb="FFCC99FF"/>
      <rgbColor rgb="FFF6C6AD"/>
      <rgbColor rgb="FF3366FF"/>
      <rgbColor rgb="FF33CCCC"/>
      <rgbColor rgb="FF99CC00"/>
      <rgbColor rgb="FFFFD966"/>
      <rgbColor rgb="FFFF9900"/>
      <rgbColor rgb="FFFF6600"/>
      <rgbColor rgb="FF595959"/>
      <rgbColor rgb="FFAEAEAE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Generaliserte kostnader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3cbe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6c6ad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b4e5a2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0808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Charts!$A$3:$A$6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Charts!$B$3:$B$6</c:f>
              <c:numCache>
                <c:formatCode>_-"kr "* #,##0.00_-;"-kr "* #,##0.00_-;_-"kr "* \-??_-;_-@_-</c:formatCode>
                <c:ptCount val="4"/>
                <c:pt idx="0">
                  <c:v>121864.142857143</c:v>
                </c:pt>
                <c:pt idx="1">
                  <c:v>110654.142857143</c:v>
                </c:pt>
                <c:pt idx="2">
                  <c:v>108549</c:v>
                </c:pt>
                <c:pt idx="3">
                  <c:v>118629</c:v>
                </c:pt>
              </c:numCache>
            </c:numRef>
          </c:val>
        </c:ser>
        <c:gapWidth val="219"/>
        <c:overlap val="-27"/>
        <c:axId val="24886185"/>
        <c:axId val="55700185"/>
      </c:barChart>
      <c:catAx>
        <c:axId val="248861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5700185"/>
        <c:crosses val="autoZero"/>
        <c:auto val="1"/>
        <c:lblAlgn val="ctr"/>
        <c:lblOffset val="100"/>
        <c:noMultiLvlLbl val="0"/>
      </c:catAx>
      <c:valAx>
        <c:axId val="5570018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&quot;kr&quot;* #,##0.00_);_(&quot;kr&quot;* \(#,##0.00\);_(&quot;kr&quot;* \-??_);_(@_)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48861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553066710108333"/>
          <c:y val="0.265959748972084"/>
          <c:w val="0.896554532866336"/>
          <c:h val="0.5403592296039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Charts!$C$2</c:f>
              <c:strCache>
                <c:ptCount val="1"/>
                <c:pt idx="0">
                  <c:v>Omlastninger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96dcf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6c6ad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b4e5a2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0808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Charts!$A$3:$A$6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Charts!$C$3:$C$6</c:f>
              <c:numCache>
                <c:formatCode>0.0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gapWidth val="219"/>
        <c:overlap val="-27"/>
        <c:axId val="36514625"/>
        <c:axId val="47490707"/>
      </c:barChart>
      <c:catAx>
        <c:axId val="365146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7490707"/>
        <c:crosses val="autoZero"/>
        <c:auto val="1"/>
        <c:lblAlgn val="ctr"/>
        <c:lblOffset val="100"/>
        <c:noMultiLvlLbl val="0"/>
      </c:catAx>
      <c:valAx>
        <c:axId val="4749070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65146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Charts!$D$2</c:f>
              <c:strCache>
                <c:ptCount val="1"/>
                <c:pt idx="0">
                  <c:v>Ledetid timer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3cbe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6c6ad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b4e5a2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0808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Charts!$A$3:$A$6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Charts!$D$3:$D$6</c:f>
              <c:numCache>
                <c:formatCode>0</c:formatCode>
                <c:ptCount val="4"/>
                <c:pt idx="0">
                  <c:v>257.976190476191</c:v>
                </c:pt>
                <c:pt idx="1">
                  <c:v>241.242857142857</c:v>
                </c:pt>
                <c:pt idx="2">
                  <c:v>234.5</c:v>
                </c:pt>
                <c:pt idx="3">
                  <c:v>250.5</c:v>
                </c:pt>
              </c:numCache>
            </c:numRef>
          </c:val>
        </c:ser>
        <c:gapWidth val="219"/>
        <c:overlap val="-27"/>
        <c:axId val="42878007"/>
        <c:axId val="4932832"/>
      </c:barChart>
      <c:catAx>
        <c:axId val="428780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932832"/>
        <c:crosses val="autoZero"/>
        <c:auto val="1"/>
        <c:lblAlgn val="ctr"/>
        <c:lblOffset val="100"/>
        <c:noMultiLvlLbl val="0"/>
      </c:catAx>
      <c:valAx>
        <c:axId val="49328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28780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61920</xdr:colOff>
      <xdr:row>0</xdr:row>
      <xdr:rowOff>57240</xdr:rowOff>
    </xdr:from>
    <xdr:to>
      <xdr:col>10</xdr:col>
      <xdr:colOff>529920</xdr:colOff>
      <xdr:row>11</xdr:row>
      <xdr:rowOff>87120</xdr:rowOff>
    </xdr:to>
    <xdr:graphicFrame>
      <xdr:nvGraphicFramePr>
        <xdr:cNvPr id="0" name="Chart 1"/>
        <xdr:cNvGraphicFramePr/>
      </xdr:nvGraphicFramePr>
      <xdr:xfrm>
        <a:off x="5294160" y="57240"/>
        <a:ext cx="4259160" cy="202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376200</xdr:colOff>
      <xdr:row>21</xdr:row>
      <xdr:rowOff>133200</xdr:rowOff>
    </xdr:from>
    <xdr:to>
      <xdr:col>11</xdr:col>
      <xdr:colOff>246240</xdr:colOff>
      <xdr:row>30</xdr:row>
      <xdr:rowOff>167760</xdr:rowOff>
    </xdr:to>
    <xdr:graphicFrame>
      <xdr:nvGraphicFramePr>
        <xdr:cNvPr id="1" name="Chart 2"/>
        <xdr:cNvGraphicFramePr/>
      </xdr:nvGraphicFramePr>
      <xdr:xfrm>
        <a:off x="5608440" y="3933720"/>
        <a:ext cx="4419360" cy="166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397800</xdr:colOff>
      <xdr:row>11</xdr:row>
      <xdr:rowOff>90360</xdr:rowOff>
    </xdr:from>
    <xdr:to>
      <xdr:col>11</xdr:col>
      <xdr:colOff>172800</xdr:colOff>
      <xdr:row>21</xdr:row>
      <xdr:rowOff>120240</xdr:rowOff>
    </xdr:to>
    <xdr:graphicFrame>
      <xdr:nvGraphicFramePr>
        <xdr:cNvPr id="2" name="Chart 3"/>
        <xdr:cNvGraphicFramePr/>
      </xdr:nvGraphicFramePr>
      <xdr:xfrm>
        <a:off x="5630040" y="2081160"/>
        <a:ext cx="4324320" cy="183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true" showRowColHeaders="true" showZeros="true" rightToLeft="false" tabSelected="false" showOutlineSymbols="true" defaultGridColor="true" view="normal" topLeftCell="A1" colorId="64" zoomScale="62" zoomScaleNormal="62" zoomScalePageLayoutView="100" workbookViewId="0">
      <selection pane="topLeft" activeCell="K42" activeCellId="0" sqref="K42"/>
    </sheetView>
  </sheetViews>
  <sheetFormatPr defaultColWidth="8.53125" defaultRowHeight="14.2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0.33"/>
    <col collapsed="false" customWidth="true" hidden="false" outlineLevel="0" max="4" min="3" style="1" width="19.86"/>
    <col collapsed="false" customWidth="true" hidden="false" outlineLevel="0" max="5" min="5" style="1" width="14.46"/>
    <col collapsed="false" customWidth="true" hidden="false" outlineLevel="0" max="6" min="6" style="1" width="10.33"/>
    <col collapsed="false" customWidth="true" hidden="false" outlineLevel="0" max="7" min="7" style="1" width="18.47"/>
    <col collapsed="false" customWidth="true" hidden="false" outlineLevel="0" max="8" min="8" style="1" width="19.4"/>
    <col collapsed="false" customWidth="true" hidden="false" outlineLevel="0" max="9" min="9" style="1" width="16"/>
    <col collapsed="false" customWidth="true" hidden="false" outlineLevel="0" max="10" min="10" style="1" width="15.33"/>
    <col collapsed="false" customWidth="true" hidden="false" outlineLevel="0" max="11" min="11" style="1" width="21"/>
    <col collapsed="false" customWidth="true" hidden="false" outlineLevel="0" max="12" min="12" style="1" width="11.93"/>
    <col collapsed="false" customWidth="true" hidden="false" outlineLevel="0" max="13" min="13" style="1" width="11.73"/>
    <col collapsed="false" customWidth="true" hidden="false" outlineLevel="0" max="14" min="14" style="1" width="11.87"/>
  </cols>
  <sheetData>
    <row r="1" customFormat="false" ht="14.25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10" t="s">
        <v>14</v>
      </c>
      <c r="P1" s="9" t="s">
        <v>15</v>
      </c>
      <c r="Q1" s="9" t="s">
        <v>16</v>
      </c>
    </row>
    <row r="2" customFormat="false" ht="14.25" hidden="false" customHeight="true" outlineLevel="0" collapsed="false">
      <c r="A2" s="1" t="s">
        <v>17</v>
      </c>
      <c r="B2" s="11"/>
      <c r="C2" s="11" t="n">
        <v>1</v>
      </c>
      <c r="D2" s="4" t="s">
        <v>18</v>
      </c>
      <c r="E2" s="11" t="s">
        <v>19</v>
      </c>
      <c r="F2" s="4" t="s">
        <v>20</v>
      </c>
      <c r="G2" s="4" t="s">
        <v>21</v>
      </c>
      <c r="H2" s="11" t="n">
        <v>900</v>
      </c>
      <c r="I2" s="11" t="n">
        <v>28</v>
      </c>
      <c r="J2" s="12" t="n">
        <f aca="false">H2/I2</f>
        <v>32.1428571428571</v>
      </c>
      <c r="K2" s="13" t="n">
        <v>12</v>
      </c>
      <c r="L2" s="4" t="n">
        <v>34</v>
      </c>
      <c r="M2" s="14" t="n">
        <f aca="false">J2+K2+L2+O2</f>
        <v>78.6428571428571</v>
      </c>
      <c r="N2" s="4" t="n">
        <v>1</v>
      </c>
      <c r="O2" s="1" t="n">
        <v>0.5</v>
      </c>
      <c r="P2" s="4"/>
    </row>
    <row r="3" customFormat="false" ht="14.25" hidden="false" customHeight="true" outlineLevel="0" collapsed="false">
      <c r="A3" s="1" t="s">
        <v>17</v>
      </c>
      <c r="B3" s="11"/>
      <c r="C3" s="11" t="n">
        <v>2</v>
      </c>
      <c r="D3" s="4" t="s">
        <v>18</v>
      </c>
      <c r="E3" s="11" t="s">
        <v>22</v>
      </c>
      <c r="F3" s="4" t="s">
        <v>21</v>
      </c>
      <c r="G3" s="4" t="s">
        <v>23</v>
      </c>
      <c r="H3" s="11" t="n">
        <v>1200</v>
      </c>
      <c r="I3" s="11" t="n">
        <v>25</v>
      </c>
      <c r="J3" s="12" t="n">
        <f aca="false">H3/I3</f>
        <v>48</v>
      </c>
      <c r="K3" s="13" t="n">
        <v>6</v>
      </c>
      <c r="L3" s="4" t="n">
        <f aca="false">IF(E3="Sjø",18,IF(E3="Truck",0,24))</f>
        <v>24</v>
      </c>
      <c r="M3" s="14" t="n">
        <f aca="false">J3+K3+L3+O3</f>
        <v>78</v>
      </c>
      <c r="N3" s="4" t="n">
        <v>0</v>
      </c>
      <c r="O3" s="1" t="n">
        <v>0</v>
      </c>
      <c r="P3" s="4"/>
    </row>
    <row r="4" customFormat="false" ht="14.25" hidden="false" customHeight="true" outlineLevel="0" collapsed="false">
      <c r="A4" s="1" t="s">
        <v>17</v>
      </c>
      <c r="B4" s="11"/>
      <c r="C4" s="11" t="n">
        <v>3</v>
      </c>
      <c r="D4" s="4" t="s">
        <v>24</v>
      </c>
      <c r="E4" s="11" t="s">
        <v>25</v>
      </c>
      <c r="F4" s="4" t="s">
        <v>26</v>
      </c>
      <c r="G4" s="4" t="s">
        <v>27</v>
      </c>
      <c r="H4" s="11" t="n">
        <v>20</v>
      </c>
      <c r="I4" s="11" t="n">
        <v>60</v>
      </c>
      <c r="J4" s="12" t="n">
        <f aca="false">H4/I4</f>
        <v>0.333333333333333</v>
      </c>
      <c r="K4" s="13" t="n">
        <v>4</v>
      </c>
      <c r="L4" s="4" t="n">
        <f aca="false">IF(E4="Sjø",18,IF(E4="Truck",0,24))</f>
        <v>0</v>
      </c>
      <c r="M4" s="14" t="n">
        <f aca="false">J4+K4+L4+O4</f>
        <v>4.33333333333333</v>
      </c>
      <c r="N4" s="4" t="n">
        <v>1</v>
      </c>
      <c r="O4" s="1" t="n">
        <v>0</v>
      </c>
      <c r="P4" s="4"/>
    </row>
    <row r="5" customFormat="false" ht="14.25" hidden="false" customHeight="true" outlineLevel="0" collapsed="false">
      <c r="A5" s="1" t="s">
        <v>17</v>
      </c>
      <c r="B5" s="11"/>
      <c r="C5" s="11" t="n">
        <v>4</v>
      </c>
      <c r="D5" s="4" t="s">
        <v>18</v>
      </c>
      <c r="E5" s="11" t="s">
        <v>28</v>
      </c>
      <c r="F5" s="4" t="s">
        <v>23</v>
      </c>
      <c r="G5" s="4" t="s">
        <v>29</v>
      </c>
      <c r="H5" s="11" t="n">
        <v>400</v>
      </c>
      <c r="I5" s="11" t="n">
        <v>25</v>
      </c>
      <c r="J5" s="12" t="n">
        <f aca="false">H5/I5</f>
        <v>16</v>
      </c>
      <c r="K5" s="13" t="n">
        <v>6</v>
      </c>
      <c r="L5" s="4" t="n">
        <f aca="false">IF(E5="Sjø",18,IF(E5="Truck",0,24))</f>
        <v>24</v>
      </c>
      <c r="M5" s="14" t="n">
        <f aca="false">J5+K5+L5+O5</f>
        <v>46</v>
      </c>
      <c r="N5" s="4" t="n">
        <v>0</v>
      </c>
      <c r="O5" s="1" t="n">
        <v>0</v>
      </c>
      <c r="P5" s="4"/>
    </row>
    <row r="6" customFormat="false" ht="14.25" hidden="false" customHeight="true" outlineLevel="0" collapsed="false">
      <c r="A6" s="1" t="s">
        <v>17</v>
      </c>
      <c r="B6" s="11"/>
      <c r="C6" s="11" t="n">
        <v>5</v>
      </c>
      <c r="D6" s="4" t="s">
        <v>30</v>
      </c>
      <c r="E6" s="11" t="s">
        <v>31</v>
      </c>
      <c r="F6" s="4" t="s">
        <v>29</v>
      </c>
      <c r="G6" s="4" t="s">
        <v>32</v>
      </c>
      <c r="H6" s="11" t="n">
        <v>500</v>
      </c>
      <c r="I6" s="11" t="n">
        <v>25</v>
      </c>
      <c r="J6" s="12" t="n">
        <f aca="false">H6/I6</f>
        <v>20</v>
      </c>
      <c r="K6" s="13" t="n">
        <v>4</v>
      </c>
      <c r="L6" s="4" t="n">
        <f aca="false">IF(E6="Sjø",18,IF(E6="Truck",0,24))</f>
        <v>24</v>
      </c>
      <c r="M6" s="14" t="n">
        <f aca="false">J6+K6+L6+O6</f>
        <v>51</v>
      </c>
      <c r="N6" s="4" t="n">
        <v>1</v>
      </c>
      <c r="O6" s="1" t="n">
        <v>3</v>
      </c>
      <c r="P6" s="4"/>
    </row>
    <row r="7" customFormat="false" ht="14.25" hidden="false" customHeight="true" outlineLevel="0" collapsed="false">
      <c r="B7" s="15" t="s">
        <v>33</v>
      </c>
      <c r="C7" s="15" t="n">
        <f aca="false">COUNT(C2:C6)</f>
        <v>5</v>
      </c>
      <c r="D7" s="15"/>
      <c r="E7" s="15"/>
      <c r="F7" s="15"/>
      <c r="G7" s="15"/>
      <c r="H7" s="15" t="n">
        <f aca="false">SUM(H2:H6)</f>
        <v>3020</v>
      </c>
      <c r="I7" s="15"/>
      <c r="J7" s="16" t="n">
        <f aca="false">SUM(J2:J6)</f>
        <v>116.47619047619</v>
      </c>
      <c r="K7" s="17" t="n">
        <f aca="false">SUM(K2:K6)</f>
        <v>32</v>
      </c>
      <c r="L7" s="1" t="n">
        <f aca="false">SUM(L2:L6)</f>
        <v>106</v>
      </c>
      <c r="M7" s="18" t="n">
        <f aca="false">SUM(M2:M6)</f>
        <v>257.976190476191</v>
      </c>
      <c r="N7" s="15" t="n">
        <f aca="false">SUM(N2:N6)</f>
        <v>3</v>
      </c>
      <c r="O7" s="1" t="n">
        <f aca="false">SUM(O2:O6)</f>
        <v>3.5</v>
      </c>
      <c r="P7" s="19" t="n">
        <f aca="false">M7/24</f>
        <v>10.7490079365079</v>
      </c>
      <c r="Q7" s="20" t="n">
        <v>7.5</v>
      </c>
      <c r="R7" s="1" t="s">
        <v>34</v>
      </c>
    </row>
    <row r="10" customFormat="false" ht="14.25" hidden="false" customHeight="true" outlineLevel="0" collapsed="false">
      <c r="B10" s="3" t="s">
        <v>35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36</v>
      </c>
      <c r="J10" s="3" t="s">
        <v>9</v>
      </c>
      <c r="K10" s="3" t="s">
        <v>10</v>
      </c>
      <c r="L10" s="21" t="s">
        <v>11</v>
      </c>
      <c r="M10" s="3" t="s">
        <v>12</v>
      </c>
      <c r="N10" s="3" t="s">
        <v>13</v>
      </c>
      <c r="O10" s="10" t="s">
        <v>14</v>
      </c>
      <c r="P10" s="9" t="s">
        <v>15</v>
      </c>
      <c r="Q10" s="9" t="s">
        <v>16</v>
      </c>
    </row>
    <row r="11" customFormat="false" ht="14.25" hidden="false" customHeight="true" outlineLevel="0" collapsed="false">
      <c r="A11" s="1" t="s">
        <v>37</v>
      </c>
      <c r="B11" s="11"/>
      <c r="C11" s="11" t="n">
        <v>1</v>
      </c>
      <c r="D11" s="11" t="s">
        <v>18</v>
      </c>
      <c r="E11" s="11" t="s">
        <v>19</v>
      </c>
      <c r="F11" s="11" t="s">
        <v>20</v>
      </c>
      <c r="G11" s="11" t="s">
        <v>38</v>
      </c>
      <c r="H11" s="11" t="n">
        <v>900</v>
      </c>
      <c r="I11" s="11" t="n">
        <v>28</v>
      </c>
      <c r="J11" s="12" t="n">
        <f aca="false">H11/I11</f>
        <v>32.1428571428571</v>
      </c>
      <c r="K11" s="11" t="n">
        <v>12</v>
      </c>
      <c r="L11" s="22" t="n">
        <f aca="false">IF(E11="Sjø",34,IF(E11="Truck",0,24))</f>
        <v>34</v>
      </c>
      <c r="M11" s="12" t="n">
        <f aca="false">J11+K11+L11+O11</f>
        <v>78.6428571428571</v>
      </c>
      <c r="N11" s="11" t="n">
        <v>1</v>
      </c>
      <c r="O11" s="1" t="n">
        <v>0.5</v>
      </c>
    </row>
    <row r="12" customFormat="false" ht="14.25" hidden="false" customHeight="true" outlineLevel="0" collapsed="false">
      <c r="A12" s="1" t="s">
        <v>37</v>
      </c>
      <c r="B12" s="11"/>
      <c r="C12" s="11" t="n">
        <v>2</v>
      </c>
      <c r="D12" s="11" t="s">
        <v>18</v>
      </c>
      <c r="E12" s="11" t="s">
        <v>39</v>
      </c>
      <c r="F12" s="11" t="s">
        <v>38</v>
      </c>
      <c r="G12" s="11" t="s">
        <v>40</v>
      </c>
      <c r="H12" s="11" t="n">
        <v>840</v>
      </c>
      <c r="I12" s="11" t="n">
        <v>25</v>
      </c>
      <c r="J12" s="12" t="n">
        <f aca="false">H12/I12</f>
        <v>33.6</v>
      </c>
      <c r="K12" s="11" t="n">
        <v>6</v>
      </c>
      <c r="L12" s="22" t="n">
        <f aca="false">IF(E12="Sjø",18,IF(E12="Truck",0,24))</f>
        <v>24</v>
      </c>
      <c r="M12" s="12" t="n">
        <f aca="false">J12+K12+L12+O12</f>
        <v>63.6</v>
      </c>
      <c r="N12" s="11" t="n">
        <v>0</v>
      </c>
      <c r="O12" s="1" t="n">
        <v>0</v>
      </c>
    </row>
    <row r="13" customFormat="false" ht="14.25" hidden="false" customHeight="true" outlineLevel="0" collapsed="false">
      <c r="A13" s="1" t="s">
        <v>37</v>
      </c>
      <c r="B13" s="11"/>
      <c r="C13" s="11" t="n">
        <v>3</v>
      </c>
      <c r="D13" s="11" t="s">
        <v>18</v>
      </c>
      <c r="E13" s="11" t="s">
        <v>39</v>
      </c>
      <c r="F13" s="11" t="s">
        <v>40</v>
      </c>
      <c r="G13" s="11" t="s">
        <v>41</v>
      </c>
      <c r="H13" s="11" t="n">
        <v>400</v>
      </c>
      <c r="I13" s="11" t="n">
        <v>25</v>
      </c>
      <c r="J13" s="12" t="n">
        <f aca="false">H13/I13</f>
        <v>16</v>
      </c>
      <c r="K13" s="11" t="n">
        <v>6</v>
      </c>
      <c r="L13" s="22" t="n">
        <f aca="false">IF(E13="Sjø",18,IF(E13="Truck",0,24))</f>
        <v>24</v>
      </c>
      <c r="M13" s="12" t="n">
        <f aca="false">J13+K13+L13+O13</f>
        <v>46</v>
      </c>
      <c r="N13" s="11" t="n">
        <v>0</v>
      </c>
      <c r="O13" s="1" t="n">
        <v>0</v>
      </c>
    </row>
    <row r="14" customFormat="false" ht="14.25" hidden="false" customHeight="true" outlineLevel="0" collapsed="false">
      <c r="A14" s="1" t="s">
        <v>37</v>
      </c>
      <c r="B14" s="11"/>
      <c r="C14" s="11" t="n">
        <v>4</v>
      </c>
      <c r="D14" s="11" t="s">
        <v>30</v>
      </c>
      <c r="E14" s="11" t="s">
        <v>39</v>
      </c>
      <c r="F14" s="11" t="s">
        <v>41</v>
      </c>
      <c r="G14" s="11" t="s">
        <v>32</v>
      </c>
      <c r="H14" s="11" t="n">
        <v>550</v>
      </c>
      <c r="I14" s="11" t="n">
        <v>25</v>
      </c>
      <c r="J14" s="12" t="n">
        <f aca="false">H14/I14</f>
        <v>22</v>
      </c>
      <c r="K14" s="11" t="n">
        <v>4</v>
      </c>
      <c r="L14" s="22" t="n">
        <f aca="false">IF(E14="Sjø",18,IF(E14="Truck",0,24))</f>
        <v>24</v>
      </c>
      <c r="M14" s="12" t="n">
        <f aca="false">J14+K14+L14+O14</f>
        <v>53</v>
      </c>
      <c r="N14" s="11" t="n">
        <v>1</v>
      </c>
      <c r="O14" s="1" t="n">
        <v>3</v>
      </c>
    </row>
    <row r="15" customFormat="false" ht="14.25" hidden="false" customHeight="true" outlineLevel="0" collapsed="false">
      <c r="B15" s="23" t="s">
        <v>33</v>
      </c>
      <c r="C15" s="23" t="n">
        <f aca="false">COUNT(C11:C14)</f>
        <v>4</v>
      </c>
      <c r="D15" s="23"/>
      <c r="E15" s="23"/>
      <c r="F15" s="23"/>
      <c r="G15" s="23"/>
      <c r="H15" s="23" t="n">
        <f aca="false">SUM(H11:H14)</f>
        <v>2690</v>
      </c>
      <c r="I15" s="23"/>
      <c r="J15" s="24" t="n">
        <f aca="false">SUM(J11:J14)</f>
        <v>103.742857142857</v>
      </c>
      <c r="K15" s="23" t="n">
        <f aca="false">SUM(K11:K14)</f>
        <v>28</v>
      </c>
      <c r="L15" s="22" t="n">
        <f aca="false">SUM(L11:L14)</f>
        <v>106</v>
      </c>
      <c r="M15" s="24" t="n">
        <f aca="false">SUM(M11:M14)</f>
        <v>241.242857142857</v>
      </c>
      <c r="N15" s="23" t="n">
        <f aca="false">SUM(N11:N14)</f>
        <v>2</v>
      </c>
      <c r="O15" s="1" t="n">
        <f aca="false">SUM(O11:O14)</f>
        <v>3.5</v>
      </c>
      <c r="P15" s="20" t="n">
        <f aca="false">M15/24</f>
        <v>10.0517857142857</v>
      </c>
    </row>
    <row r="16" customFormat="false" ht="14.25" hidden="false" customHeight="true" outlineLevel="0" collapsed="false">
      <c r="J16" s="25"/>
      <c r="M16" s="25"/>
    </row>
    <row r="17" customFormat="false" ht="14.25" hidden="false" customHeight="true" outlineLevel="0" collapsed="false">
      <c r="J17" s="25"/>
      <c r="M17" s="25"/>
    </row>
    <row r="18" customFormat="false" ht="14.25" hidden="false" customHeight="true" outlineLevel="0" collapsed="false">
      <c r="J18" s="25"/>
      <c r="M18" s="25"/>
    </row>
    <row r="21" customFormat="false" ht="14.25" hidden="false" customHeight="true" outlineLevel="0" collapsed="false">
      <c r="B21" s="3" t="s">
        <v>42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3" t="s">
        <v>7</v>
      </c>
      <c r="I21" s="3" t="s">
        <v>36</v>
      </c>
      <c r="J21" s="3" t="s">
        <v>9</v>
      </c>
      <c r="K21" s="3" t="s">
        <v>10</v>
      </c>
      <c r="L21" s="21" t="s">
        <v>11</v>
      </c>
      <c r="M21" s="3" t="s">
        <v>12</v>
      </c>
      <c r="N21" s="3" t="s">
        <v>13</v>
      </c>
      <c r="O21" s="10" t="s">
        <v>14</v>
      </c>
      <c r="P21" s="9" t="s">
        <v>15</v>
      </c>
      <c r="Q21" s="9" t="s">
        <v>16</v>
      </c>
    </row>
    <row r="22" customFormat="false" ht="14.25" hidden="false" customHeight="true" outlineLevel="0" collapsed="false">
      <c r="A22" s="1" t="s">
        <v>43</v>
      </c>
      <c r="B22" s="11"/>
      <c r="C22" s="11" t="n">
        <v>1</v>
      </c>
      <c r="D22" s="11"/>
      <c r="E22" s="11" t="s">
        <v>19</v>
      </c>
      <c r="F22" s="11" t="s">
        <v>20</v>
      </c>
      <c r="G22" s="11" t="s">
        <v>44</v>
      </c>
      <c r="H22" s="11" t="n">
        <v>700</v>
      </c>
      <c r="I22" s="11" t="n">
        <v>28</v>
      </c>
      <c r="J22" s="11" t="n">
        <f aca="false">H22/I22</f>
        <v>25</v>
      </c>
      <c r="K22" s="11" t="n">
        <v>12</v>
      </c>
      <c r="L22" s="26" t="n">
        <f aca="false">IF(E22="Sjø",34,IF(E22="Truck",0,24))</f>
        <v>34</v>
      </c>
      <c r="M22" s="11" t="n">
        <f aca="false">J22+K22+L22+O22</f>
        <v>71.5</v>
      </c>
      <c r="N22" s="11" t="n">
        <v>1</v>
      </c>
      <c r="O22" s="1" t="n">
        <v>0.5</v>
      </c>
    </row>
    <row r="23" customFormat="false" ht="14.25" hidden="false" customHeight="true" outlineLevel="0" collapsed="false">
      <c r="A23" s="1" t="s">
        <v>43</v>
      </c>
      <c r="B23" s="11"/>
      <c r="C23" s="11" t="n">
        <v>2</v>
      </c>
      <c r="D23" s="11"/>
      <c r="E23" s="11" t="s">
        <v>39</v>
      </c>
      <c r="F23" s="11" t="s">
        <v>44</v>
      </c>
      <c r="G23" s="11" t="s">
        <v>45</v>
      </c>
      <c r="H23" s="11" t="n">
        <v>850</v>
      </c>
      <c r="I23" s="11" t="n">
        <v>25</v>
      </c>
      <c r="J23" s="11" t="n">
        <f aca="false">H23/I23</f>
        <v>34</v>
      </c>
      <c r="K23" s="11" t="n">
        <v>6</v>
      </c>
      <c r="L23" s="26" t="n">
        <f aca="false">IF(E23="Sjø",18,IF(E23="Truck",0,24))</f>
        <v>24</v>
      </c>
      <c r="M23" s="11" t="n">
        <f aca="false">J23+K23+L23+O23</f>
        <v>64</v>
      </c>
      <c r="N23" s="11" t="n">
        <v>0</v>
      </c>
      <c r="O23" s="1" t="n">
        <v>0</v>
      </c>
    </row>
    <row r="24" customFormat="false" ht="14.25" hidden="false" customHeight="true" outlineLevel="0" collapsed="false">
      <c r="A24" s="1" t="s">
        <v>43</v>
      </c>
      <c r="B24" s="11"/>
      <c r="C24" s="11" t="n">
        <v>3</v>
      </c>
      <c r="D24" s="11"/>
      <c r="E24" s="11" t="s">
        <v>39</v>
      </c>
      <c r="F24" s="11" t="s">
        <v>45</v>
      </c>
      <c r="G24" s="11" t="s">
        <v>41</v>
      </c>
      <c r="H24" s="11" t="n">
        <v>400</v>
      </c>
      <c r="I24" s="11" t="n">
        <v>25</v>
      </c>
      <c r="J24" s="11" t="n">
        <f aca="false">H24/I24</f>
        <v>16</v>
      </c>
      <c r="K24" s="11" t="n">
        <v>6</v>
      </c>
      <c r="L24" s="26" t="n">
        <f aca="false">IF(E24="Sjø",18,IF(E24="Truck",0,24))</f>
        <v>24</v>
      </c>
      <c r="M24" s="11" t="n">
        <f aca="false">J24+K24+L24+O24</f>
        <v>46</v>
      </c>
      <c r="N24" s="11" t="n">
        <v>0</v>
      </c>
      <c r="O24" s="1" t="n">
        <v>0</v>
      </c>
    </row>
    <row r="25" customFormat="false" ht="14.25" hidden="false" customHeight="true" outlineLevel="0" collapsed="false">
      <c r="A25" s="1" t="s">
        <v>43</v>
      </c>
      <c r="B25" s="11"/>
      <c r="C25" s="11" t="n">
        <v>4</v>
      </c>
      <c r="D25" s="11"/>
      <c r="E25" s="11" t="s">
        <v>39</v>
      </c>
      <c r="F25" s="11" t="s">
        <v>41</v>
      </c>
      <c r="G25" s="11" t="s">
        <v>32</v>
      </c>
      <c r="H25" s="11" t="n">
        <v>550</v>
      </c>
      <c r="I25" s="11" t="n">
        <v>25</v>
      </c>
      <c r="J25" s="11" t="n">
        <f aca="false">H25/I25</f>
        <v>22</v>
      </c>
      <c r="K25" s="11" t="n">
        <v>4</v>
      </c>
      <c r="L25" s="26" t="n">
        <f aca="false">IF(E25="Sjø",18,IF(E25="Truck",0,24))</f>
        <v>24</v>
      </c>
      <c r="M25" s="11" t="n">
        <f aca="false">J25+K25+L25+O25</f>
        <v>53</v>
      </c>
      <c r="N25" s="11" t="n">
        <v>1</v>
      </c>
      <c r="O25" s="1" t="n">
        <v>3</v>
      </c>
    </row>
    <row r="26" customFormat="false" ht="14.25" hidden="false" customHeight="true" outlineLevel="0" collapsed="false">
      <c r="B26" s="15" t="s">
        <v>33</v>
      </c>
      <c r="C26" s="15"/>
      <c r="D26" s="15"/>
      <c r="E26" s="15"/>
      <c r="F26" s="15"/>
      <c r="G26" s="15"/>
      <c r="H26" s="15" t="n">
        <f aca="false">SUM(H22:H25)</f>
        <v>2500</v>
      </c>
      <c r="I26" s="15"/>
      <c r="J26" s="15" t="n">
        <f aca="false">SUM(J22:J25)</f>
        <v>97</v>
      </c>
      <c r="K26" s="15" t="n">
        <f aca="false">SUM(K22:K25)</f>
        <v>28</v>
      </c>
      <c r="L26" s="27" t="n">
        <f aca="false">SUM(L22:L25)</f>
        <v>106</v>
      </c>
      <c r="M26" s="15" t="n">
        <f aca="false">SUM(M22:M25)</f>
        <v>234.5</v>
      </c>
      <c r="N26" s="15" t="n">
        <f aca="false">SUM(N22:N25)</f>
        <v>2</v>
      </c>
      <c r="O26" s="1" t="n">
        <f aca="false">SUM(O22:O25)</f>
        <v>3.5</v>
      </c>
      <c r="P26" s="20" t="n">
        <f aca="false">M26/24</f>
        <v>9.77083333333333</v>
      </c>
      <c r="Q26" s="20" t="n">
        <v>9</v>
      </c>
      <c r="R26" s="1" t="s">
        <v>34</v>
      </c>
    </row>
    <row r="31" customFormat="false" ht="14.25" hidden="false" customHeight="true" outlineLevel="0" collapsed="false">
      <c r="B31" s="11" t="s">
        <v>46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36</v>
      </c>
      <c r="J31" s="3" t="s">
        <v>9</v>
      </c>
      <c r="K31" s="3" t="s">
        <v>10</v>
      </c>
      <c r="L31" s="21" t="s">
        <v>11</v>
      </c>
      <c r="M31" s="3" t="s">
        <v>12</v>
      </c>
      <c r="N31" s="3" t="s">
        <v>13</v>
      </c>
      <c r="O31" s="10" t="s">
        <v>14</v>
      </c>
      <c r="P31" s="9" t="s">
        <v>15</v>
      </c>
      <c r="Q31" s="9" t="s">
        <v>16</v>
      </c>
    </row>
    <row r="32" customFormat="false" ht="14.25" hidden="false" customHeight="true" outlineLevel="0" collapsed="false">
      <c r="A32" s="1" t="s">
        <v>47</v>
      </c>
      <c r="B32" s="11"/>
      <c r="C32" s="11" t="n">
        <v>1</v>
      </c>
      <c r="D32" s="11"/>
      <c r="E32" s="11" t="s">
        <v>19</v>
      </c>
      <c r="F32" s="11" t="s">
        <v>20</v>
      </c>
      <c r="G32" s="11" t="s">
        <v>44</v>
      </c>
      <c r="H32" s="11" t="n">
        <v>700</v>
      </c>
      <c r="I32" s="11" t="n">
        <v>28</v>
      </c>
      <c r="J32" s="11" t="n">
        <f aca="false">H32/I32</f>
        <v>25</v>
      </c>
      <c r="K32" s="11" t="n">
        <v>12</v>
      </c>
      <c r="L32" s="26" t="n">
        <f aca="false">IF(E32="Sjø",34,IF(E32="Truck",0,24))</f>
        <v>34</v>
      </c>
      <c r="M32" s="11" t="n">
        <f aca="false">J32+K32+L32+O32</f>
        <v>71.5</v>
      </c>
      <c r="N32" s="11" t="n">
        <v>1</v>
      </c>
      <c r="O32" s="1" t="n">
        <v>0.5</v>
      </c>
      <c r="P32" s="4"/>
      <c r="Q32" s="4"/>
    </row>
    <row r="33" customFormat="false" ht="14.25" hidden="false" customHeight="true" outlineLevel="0" collapsed="false">
      <c r="A33" s="1" t="s">
        <v>47</v>
      </c>
      <c r="B33" s="11"/>
      <c r="C33" s="11" t="n">
        <v>2</v>
      </c>
      <c r="D33" s="11"/>
      <c r="E33" s="11" t="s">
        <v>39</v>
      </c>
      <c r="F33" s="11" t="s">
        <v>44</v>
      </c>
      <c r="G33" s="11" t="s">
        <v>48</v>
      </c>
      <c r="H33" s="11" t="n">
        <v>1100</v>
      </c>
      <c r="I33" s="11" t="n">
        <v>25</v>
      </c>
      <c r="J33" s="11" t="n">
        <f aca="false">H33/I33</f>
        <v>44</v>
      </c>
      <c r="K33" s="11" t="n">
        <v>6</v>
      </c>
      <c r="L33" s="26" t="n">
        <f aca="false">IF(E33="Sjø",18,IF(E33="Truck",0,24))</f>
        <v>24</v>
      </c>
      <c r="M33" s="11" t="n">
        <f aca="false">J33+K33+L33+O33</f>
        <v>74</v>
      </c>
      <c r="N33" s="11" t="n">
        <v>0</v>
      </c>
      <c r="O33" s="1" t="n">
        <v>0</v>
      </c>
      <c r="P33" s="4"/>
      <c r="Q33" s="4"/>
    </row>
    <row r="34" customFormat="false" ht="14.25" hidden="false" customHeight="true" outlineLevel="0" collapsed="false">
      <c r="A34" s="1" t="s">
        <v>47</v>
      </c>
      <c r="B34" s="11"/>
      <c r="C34" s="11" t="n">
        <v>3</v>
      </c>
      <c r="D34" s="11"/>
      <c r="E34" s="11" t="s">
        <v>39</v>
      </c>
      <c r="F34" s="11" t="s">
        <v>48</v>
      </c>
      <c r="G34" s="11" t="s">
        <v>29</v>
      </c>
      <c r="H34" s="11" t="n">
        <v>500</v>
      </c>
      <c r="I34" s="11" t="n">
        <v>25</v>
      </c>
      <c r="J34" s="11" t="n">
        <f aca="false">H34/I34</f>
        <v>20</v>
      </c>
      <c r="K34" s="11" t="n">
        <v>6</v>
      </c>
      <c r="L34" s="26" t="n">
        <f aca="false">IF(E34="Sjø",18,IF(E34="Truck",0,24))</f>
        <v>24</v>
      </c>
      <c r="M34" s="11" t="n">
        <f aca="false">J34+K34+L34+O34</f>
        <v>50</v>
      </c>
      <c r="N34" s="11" t="n">
        <v>0</v>
      </c>
      <c r="O34" s="1" t="n">
        <v>0</v>
      </c>
      <c r="P34" s="4"/>
      <c r="Q34" s="4"/>
    </row>
    <row r="35" customFormat="false" ht="14.25" hidden="false" customHeight="true" outlineLevel="0" collapsed="false">
      <c r="A35" s="1" t="s">
        <v>47</v>
      </c>
      <c r="B35" s="11"/>
      <c r="C35" s="11" t="n">
        <v>4</v>
      </c>
      <c r="D35" s="11"/>
      <c r="E35" s="11" t="s">
        <v>39</v>
      </c>
      <c r="F35" s="11" t="s">
        <v>49</v>
      </c>
      <c r="G35" s="11" t="s">
        <v>32</v>
      </c>
      <c r="H35" s="11" t="n">
        <v>600</v>
      </c>
      <c r="I35" s="11" t="n">
        <v>25</v>
      </c>
      <c r="J35" s="11" t="n">
        <f aca="false">H35/I35</f>
        <v>24</v>
      </c>
      <c r="K35" s="11" t="n">
        <v>4</v>
      </c>
      <c r="L35" s="26" t="n">
        <f aca="false">IF(E35="Sjø",18,IF(E35="Truck",0,24))</f>
        <v>24</v>
      </c>
      <c r="M35" s="11" t="n">
        <f aca="false">J35+K35+L35+O35</f>
        <v>55</v>
      </c>
      <c r="N35" s="11" t="n">
        <v>1</v>
      </c>
      <c r="O35" s="1" t="n">
        <v>3</v>
      </c>
      <c r="P35" s="4"/>
      <c r="Q35" s="4"/>
    </row>
    <row r="36" customFormat="false" ht="14.25" hidden="false" customHeight="true" outlineLevel="0" collapsed="false">
      <c r="B36" s="15" t="s">
        <v>33</v>
      </c>
      <c r="C36" s="15"/>
      <c r="D36" s="15"/>
      <c r="E36" s="15"/>
      <c r="F36" s="15"/>
      <c r="G36" s="15"/>
      <c r="H36" s="15" t="n">
        <f aca="false">SUM(H32:H35)</f>
        <v>2900</v>
      </c>
      <c r="I36" s="15"/>
      <c r="J36" s="15" t="n">
        <f aca="false">SUM(J32:J35)</f>
        <v>113</v>
      </c>
      <c r="K36" s="15" t="n">
        <f aca="false">SUM(K32:K35)</f>
        <v>28</v>
      </c>
      <c r="L36" s="27" t="n">
        <f aca="false">SUM(L32:L35)</f>
        <v>106</v>
      </c>
      <c r="M36" s="15" t="n">
        <f aca="false">SUM(M32:M35)</f>
        <v>250.5</v>
      </c>
      <c r="N36" s="15" t="n">
        <f aca="false">SUM(N32:N35)</f>
        <v>2</v>
      </c>
      <c r="O36" s="1" t="n">
        <f aca="false">SUM(O32:O35)</f>
        <v>3.5</v>
      </c>
      <c r="P36" s="20" t="n">
        <f aca="false">M36/24</f>
        <v>10.4375</v>
      </c>
      <c r="Q36" s="20" t="n">
        <v>7</v>
      </c>
      <c r="R36" s="1" t="s">
        <v>50</v>
      </c>
    </row>
    <row r="39" customFormat="false" ht="14.25" hidden="false" customHeight="true" outlineLevel="0" collapsed="false">
      <c r="B39" s="1" t="s">
        <v>51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36</v>
      </c>
      <c r="J39" s="1" t="s">
        <v>9</v>
      </c>
      <c r="K39" s="1" t="s">
        <v>10</v>
      </c>
      <c r="L39" s="1" t="s">
        <v>11</v>
      </c>
      <c r="M39" s="1" t="s">
        <v>12</v>
      </c>
      <c r="N39" s="1" t="s">
        <v>13</v>
      </c>
      <c r="O39" s="1" t="s">
        <v>14</v>
      </c>
      <c r="P39" s="1" t="s">
        <v>15</v>
      </c>
      <c r="Q39" s="1" t="s">
        <v>16</v>
      </c>
    </row>
    <row r="40" customFormat="false" ht="14.25" hidden="false" customHeight="true" outlineLevel="0" collapsed="false">
      <c r="A40" s="1" t="s">
        <v>52</v>
      </c>
      <c r="C40" s="1" t="n">
        <v>1</v>
      </c>
      <c r="D40" s="1" t="s">
        <v>18</v>
      </c>
      <c r="E40" s="1" t="s">
        <v>19</v>
      </c>
      <c r="F40" s="1" t="s">
        <v>20</v>
      </c>
      <c r="G40" s="1" t="s">
        <v>44</v>
      </c>
      <c r="H40" s="1" t="n">
        <v>700</v>
      </c>
      <c r="I40" s="1" t="n">
        <v>28</v>
      </c>
      <c r="J40" s="1" t="n">
        <f aca="false">H40/I40</f>
        <v>25</v>
      </c>
      <c r="K40" s="1" t="n">
        <v>12</v>
      </c>
      <c r="L40" s="1" t="n">
        <f aca="false">IF(E40="Sjø",34,IF(E40="Truck",0,24))</f>
        <v>34</v>
      </c>
      <c r="M40" s="1" t="n">
        <f aca="false">J40+K40+L40+O40</f>
        <v>71.5</v>
      </c>
      <c r="N40" s="1" t="n">
        <v>1</v>
      </c>
      <c r="O40" s="1" t="n">
        <v>0.5</v>
      </c>
    </row>
    <row r="41" customFormat="false" ht="14.25" hidden="false" customHeight="true" outlineLevel="0" collapsed="false">
      <c r="A41" s="1" t="s">
        <v>52</v>
      </c>
      <c r="C41" s="1" t="n">
        <v>2</v>
      </c>
      <c r="D41" s="1" t="s">
        <v>18</v>
      </c>
      <c r="E41" s="1" t="s">
        <v>19</v>
      </c>
      <c r="F41" s="1" t="s">
        <v>44</v>
      </c>
      <c r="G41" s="1" t="s">
        <v>53</v>
      </c>
      <c r="H41" s="1" t="n">
        <v>3800</v>
      </c>
      <c r="I41" s="1" t="n">
        <v>33</v>
      </c>
      <c r="J41" s="1" t="n">
        <f aca="false">H41/I41</f>
        <v>115.151515151515</v>
      </c>
      <c r="K41" s="1" t="n">
        <v>12</v>
      </c>
      <c r="L41" s="1" t="n">
        <f aca="false">IF(E41="Sjø",34,IF(E41="Truck",0,24))</f>
        <v>34</v>
      </c>
      <c r="M41" s="1" t="n">
        <f aca="false">J41+K41+L41+O41</f>
        <v>161.151515151515</v>
      </c>
      <c r="N41" s="1" t="n">
        <v>1</v>
      </c>
      <c r="O41" s="1" t="n">
        <v>0</v>
      </c>
    </row>
    <row r="42" customFormat="false" ht="14.25" hidden="false" customHeight="true" outlineLevel="0" collapsed="false">
      <c r="A42" s="1" t="s">
        <v>52</v>
      </c>
      <c r="C42" s="1" t="n">
        <v>3</v>
      </c>
      <c r="D42" s="1" t="s">
        <v>30</v>
      </c>
      <c r="E42" s="1" t="s">
        <v>25</v>
      </c>
      <c r="F42" s="1" t="s">
        <v>53</v>
      </c>
      <c r="G42" s="1" t="s">
        <v>32</v>
      </c>
      <c r="H42" s="1" t="n">
        <v>476</v>
      </c>
      <c r="I42" s="1" t="n">
        <v>60</v>
      </c>
      <c r="J42" s="1" t="n">
        <f aca="false">H42/I42</f>
        <v>7.93333333333333</v>
      </c>
      <c r="K42" s="1" t="n">
        <v>4</v>
      </c>
      <c r="L42" s="1" t="n">
        <f aca="false">IF(E42="Sjø",18,IF(E42="Truck",0,24))</f>
        <v>0</v>
      </c>
      <c r="M42" s="1" t="n">
        <f aca="false">J42+K42+L42+O42</f>
        <v>14.9333333333333</v>
      </c>
      <c r="N42" s="1" t="n">
        <v>1</v>
      </c>
      <c r="O42" s="1" t="n">
        <v>3</v>
      </c>
    </row>
    <row r="43" customFormat="false" ht="14.25" hidden="false" customHeight="true" outlineLevel="0" collapsed="false">
      <c r="B43" s="1" t="s">
        <v>33</v>
      </c>
      <c r="C43" s="1" t="n">
        <f aca="false">COUNT(C40:C42)</f>
        <v>3</v>
      </c>
      <c r="H43" s="1" t="n">
        <f aca="false">SUM(H40:H42)</f>
        <v>4976</v>
      </c>
      <c r="J43" s="1" t="n">
        <f aca="false">SUM(J40:J42)</f>
        <v>148.084848484849</v>
      </c>
      <c r="K43" s="1" t="n">
        <f aca="false">SUM(K40:K42)</f>
        <v>28</v>
      </c>
      <c r="L43" s="1" t="n">
        <f aca="false">SUM(L40:L42)</f>
        <v>68</v>
      </c>
      <c r="M43" s="1" t="n">
        <f aca="false">SUM(M40:M42)</f>
        <v>247.584848484849</v>
      </c>
      <c r="N43" s="1" t="n">
        <f aca="false">SUM(N40:N42)</f>
        <v>3</v>
      </c>
      <c r="O43" s="1" t="n">
        <f aca="false">SUM(O40:O42)</f>
        <v>3.5</v>
      </c>
      <c r="P43" s="1" t="n">
        <f aca="false">M43/24</f>
        <v>10.3160353535354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true" showOutlineSymbols="true" defaultGridColor="true" view="normal" topLeftCell="A1" colorId="64" zoomScale="57" zoomScaleNormal="57" zoomScalePageLayoutView="100" workbookViewId="0">
      <selection pane="topLeft" activeCell="G43" activeCellId="0" sqref="G43"/>
    </sheetView>
  </sheetViews>
  <sheetFormatPr defaultColWidth="8.53125" defaultRowHeight="14.25" zeroHeight="false" outlineLevelRow="0" outlineLevelCol="0"/>
  <cols>
    <col collapsed="false" customWidth="true" hidden="false" outlineLevel="0" max="1" min="1" style="1" width="29.33"/>
    <col collapsed="false" customWidth="true" hidden="false" outlineLevel="0" max="2" min="2" style="1" width="12.6"/>
    <col collapsed="false" customWidth="true" hidden="false" outlineLevel="0" max="3" min="3" style="1" width="45.06"/>
    <col collapsed="false" customWidth="true" hidden="false" outlineLevel="0" max="9" min="9" style="1" width="14"/>
    <col collapsed="false" customWidth="true" hidden="false" outlineLevel="0" max="13" min="13" style="1" width="15.14"/>
    <col collapsed="false" customWidth="true" hidden="false" outlineLevel="0" max="14" min="14" style="1" width="16.14"/>
    <col collapsed="false" customWidth="true" hidden="false" outlineLevel="0" max="15" min="15" style="1" width="10.27"/>
    <col collapsed="false" customWidth="true" hidden="false" outlineLevel="0" max="16" min="16" style="1" width="20.2"/>
  </cols>
  <sheetData>
    <row r="1" customFormat="false" ht="14.25" hidden="false" customHeight="true" outlineLevel="0" collapsed="false">
      <c r="A1" s="1" t="s">
        <v>54</v>
      </c>
      <c r="B1" s="1" t="s">
        <v>55</v>
      </c>
      <c r="G1" s="3" t="s">
        <v>1</v>
      </c>
      <c r="H1" s="3" t="s">
        <v>2</v>
      </c>
      <c r="I1" s="4" t="s">
        <v>3</v>
      </c>
      <c r="J1" s="3" t="s">
        <v>4</v>
      </c>
      <c r="K1" s="5" t="s">
        <v>5</v>
      </c>
      <c r="L1" s="5" t="s">
        <v>6</v>
      </c>
      <c r="M1" s="5" t="s">
        <v>56</v>
      </c>
      <c r="N1" s="5" t="s">
        <v>57</v>
      </c>
      <c r="O1" s="5" t="s">
        <v>58</v>
      </c>
      <c r="P1" s="5" t="s">
        <v>59</v>
      </c>
    </row>
    <row r="2" customFormat="false" ht="14.25" hidden="false" customHeight="true" outlineLevel="0" collapsed="false">
      <c r="A2" s="1" t="s">
        <v>60</v>
      </c>
      <c r="B2" s="28" t="n">
        <v>330</v>
      </c>
      <c r="C2" s="1" t="s">
        <v>61</v>
      </c>
      <c r="G2" s="11"/>
      <c r="H2" s="11" t="n">
        <v>1</v>
      </c>
      <c r="I2" s="4" t="s">
        <v>18</v>
      </c>
      <c r="J2" s="11" t="s">
        <v>19</v>
      </c>
      <c r="K2" s="4" t="s">
        <v>20</v>
      </c>
      <c r="L2" s="4" t="s">
        <v>21</v>
      </c>
      <c r="M2" s="4" t="n">
        <f aca="false">B4</f>
        <v>6188</v>
      </c>
      <c r="N2" s="4"/>
      <c r="O2" s="4"/>
      <c r="P2" s="4"/>
    </row>
    <row r="3" customFormat="false" ht="14.25" hidden="false" customHeight="true" outlineLevel="0" collapsed="false">
      <c r="A3" s="1" t="s">
        <v>62</v>
      </c>
      <c r="B3" s="28" t="n">
        <v>0.5</v>
      </c>
      <c r="C3" s="1" t="s">
        <v>63</v>
      </c>
      <c r="G3" s="11"/>
      <c r="H3" s="11" t="n">
        <v>2</v>
      </c>
      <c r="I3" s="4" t="s">
        <v>18</v>
      </c>
      <c r="J3" s="11" t="s">
        <v>22</v>
      </c>
      <c r="K3" s="4" t="s">
        <v>21</v>
      </c>
      <c r="L3" s="4" t="s">
        <v>23</v>
      </c>
      <c r="M3" s="4" t="n">
        <f aca="false">$B$3*Ruter!H3*$B$9</f>
        <v>14400</v>
      </c>
      <c r="N3" s="4"/>
      <c r="O3" s="4"/>
      <c r="P3" s="4"/>
    </row>
    <row r="4" customFormat="false" ht="14.25" hidden="false" customHeight="true" outlineLevel="0" collapsed="false">
      <c r="A4" s="1" t="s">
        <v>64</v>
      </c>
      <c r="B4" s="1" t="n">
        <v>6188</v>
      </c>
      <c r="G4" s="11"/>
      <c r="H4" s="11" t="n">
        <v>3</v>
      </c>
      <c r="I4" s="4" t="s">
        <v>24</v>
      </c>
      <c r="J4" s="11" t="s">
        <v>25</v>
      </c>
      <c r="K4" s="4" t="s">
        <v>26</v>
      </c>
      <c r="L4" s="4" t="s">
        <v>27</v>
      </c>
      <c r="M4" s="4" t="n">
        <f aca="false">$B$5*Ruter!H4*$B$9</f>
        <v>280</v>
      </c>
      <c r="N4" s="4"/>
      <c r="O4" s="4"/>
      <c r="P4" s="4"/>
    </row>
    <row r="5" customFormat="false" ht="14.25" hidden="false" customHeight="true" outlineLevel="0" collapsed="false">
      <c r="A5" s="1" t="s">
        <v>65</v>
      </c>
      <c r="B5" s="28" t="n">
        <f aca="false">14/$B$9</f>
        <v>0.583333333333333</v>
      </c>
      <c r="C5" s="1" t="s">
        <v>66</v>
      </c>
      <c r="G5" s="11"/>
      <c r="H5" s="11" t="n">
        <v>4</v>
      </c>
      <c r="I5" s="4" t="s">
        <v>18</v>
      </c>
      <c r="J5" s="11" t="s">
        <v>28</v>
      </c>
      <c r="K5" s="4" t="s">
        <v>23</v>
      </c>
      <c r="L5" s="4" t="s">
        <v>67</v>
      </c>
      <c r="M5" s="4" t="n">
        <f aca="false">$B$3*Ruter!H5*$B$9</f>
        <v>4800</v>
      </c>
      <c r="N5" s="4"/>
      <c r="O5" s="4"/>
      <c r="P5" s="4"/>
    </row>
    <row r="6" customFormat="false" ht="14.25" hidden="false" customHeight="true" outlineLevel="0" collapsed="false">
      <c r="A6" s="1" t="s">
        <v>68</v>
      </c>
      <c r="B6" s="1" t="n">
        <v>1688</v>
      </c>
      <c r="G6" s="11"/>
      <c r="H6" s="11" t="n">
        <v>5</v>
      </c>
      <c r="I6" s="4" t="s">
        <v>30</v>
      </c>
      <c r="J6" s="11" t="s">
        <v>31</v>
      </c>
      <c r="K6" s="4" t="s">
        <v>67</v>
      </c>
      <c r="L6" s="4" t="s">
        <v>32</v>
      </c>
      <c r="M6" s="4" t="n">
        <f aca="false">$B$3*Ruter!H6*$B$9</f>
        <v>6000</v>
      </c>
      <c r="N6" s="4"/>
      <c r="O6" s="4"/>
      <c r="P6" s="4"/>
    </row>
    <row r="7" customFormat="false" ht="14.25" hidden="false" customHeight="true" outlineLevel="0" collapsed="false">
      <c r="A7" s="29" t="s">
        <v>69</v>
      </c>
      <c r="B7" s="29" t="n">
        <v>1200</v>
      </c>
      <c r="G7" s="20" t="s">
        <v>33</v>
      </c>
      <c r="H7" s="20"/>
      <c r="I7" s="20"/>
      <c r="J7" s="20"/>
      <c r="K7" s="20"/>
      <c r="L7" s="20"/>
      <c r="M7" s="20" t="n">
        <f aca="false">SUM(M2:M6)</f>
        <v>31668</v>
      </c>
      <c r="N7" s="20" t="n">
        <f aca="false">$B$8*Ruter!N7</f>
        <v>5064</v>
      </c>
      <c r="O7" s="20" t="n">
        <f aca="false">B2*Ruter!M7</f>
        <v>85132.1428571429</v>
      </c>
      <c r="P7" s="30" t="n">
        <f aca="false">SUM(M7:O7)</f>
        <v>121864.142857143</v>
      </c>
    </row>
    <row r="8" customFormat="false" ht="14.25" hidden="false" customHeight="true" outlineLevel="0" collapsed="false">
      <c r="A8" s="29" t="s">
        <v>70</v>
      </c>
      <c r="B8" s="29" t="n">
        <v>1688</v>
      </c>
    </row>
    <row r="9" customFormat="false" ht="14.25" hidden="false" customHeight="true" outlineLevel="0" collapsed="false">
      <c r="A9" s="28" t="s">
        <v>71</v>
      </c>
      <c r="B9" s="28" t="n">
        <v>24</v>
      </c>
      <c r="C9" s="1" t="s">
        <v>72</v>
      </c>
    </row>
    <row r="10" customFormat="false" ht="14.25" hidden="false" customHeight="true" outlineLevel="0" collapsed="false">
      <c r="G10" s="3" t="s">
        <v>35</v>
      </c>
      <c r="H10" s="3" t="s">
        <v>2</v>
      </c>
      <c r="I10" s="3" t="s">
        <v>3</v>
      </c>
      <c r="J10" s="3" t="s">
        <v>4</v>
      </c>
      <c r="K10" s="3" t="s">
        <v>5</v>
      </c>
      <c r="L10" s="3" t="s">
        <v>6</v>
      </c>
      <c r="M10" s="5" t="s">
        <v>56</v>
      </c>
      <c r="N10" s="5" t="s">
        <v>57</v>
      </c>
      <c r="O10" s="5" t="s">
        <v>58</v>
      </c>
      <c r="P10" s="5" t="s">
        <v>59</v>
      </c>
    </row>
    <row r="11" customFormat="false" ht="14.25" hidden="false" customHeight="true" outlineLevel="0" collapsed="false">
      <c r="G11" s="11"/>
      <c r="H11" s="11" t="n">
        <v>1</v>
      </c>
      <c r="I11" s="11" t="s">
        <v>18</v>
      </c>
      <c r="J11" s="11" t="s">
        <v>19</v>
      </c>
      <c r="K11" s="11" t="s">
        <v>20</v>
      </c>
      <c r="L11" s="11" t="s">
        <v>38</v>
      </c>
      <c r="M11" s="4" t="n">
        <f aca="false">B4</f>
        <v>6188</v>
      </c>
      <c r="N11" s="4"/>
      <c r="O11" s="4"/>
      <c r="P11" s="4"/>
    </row>
    <row r="12" customFormat="false" ht="14.25" hidden="false" customHeight="true" outlineLevel="0" collapsed="false">
      <c r="G12" s="11"/>
      <c r="H12" s="11" t="n">
        <v>2</v>
      </c>
      <c r="I12" s="11" t="s">
        <v>18</v>
      </c>
      <c r="J12" s="11" t="s">
        <v>39</v>
      </c>
      <c r="K12" s="11" t="s">
        <v>38</v>
      </c>
      <c r="L12" s="11" t="s">
        <v>40</v>
      </c>
      <c r="M12" s="4" t="n">
        <f aca="false">$B$3*Ruter!H12*$B$9</f>
        <v>10080</v>
      </c>
      <c r="N12" s="4"/>
      <c r="O12" s="4"/>
      <c r="P12" s="4"/>
    </row>
    <row r="13" customFormat="false" ht="14.25" hidden="false" customHeight="true" outlineLevel="0" collapsed="false">
      <c r="G13" s="11"/>
      <c r="H13" s="11" t="n">
        <v>3</v>
      </c>
      <c r="I13" s="11" t="s">
        <v>18</v>
      </c>
      <c r="J13" s="11" t="s">
        <v>39</v>
      </c>
      <c r="K13" s="11" t="s">
        <v>40</v>
      </c>
      <c r="L13" s="11" t="s">
        <v>41</v>
      </c>
      <c r="M13" s="4" t="n">
        <f aca="false">$B$3*Ruter!H13*$B$9</f>
        <v>4800</v>
      </c>
      <c r="N13" s="4"/>
      <c r="O13" s="4"/>
      <c r="P13" s="4"/>
    </row>
    <row r="14" customFormat="false" ht="14.25" hidden="false" customHeight="true" outlineLevel="0" collapsed="false">
      <c r="G14" s="11"/>
      <c r="H14" s="11" t="n">
        <v>4</v>
      </c>
      <c r="I14" s="11" t="s">
        <v>30</v>
      </c>
      <c r="J14" s="11" t="s">
        <v>39</v>
      </c>
      <c r="K14" s="11" t="s">
        <v>41</v>
      </c>
      <c r="L14" s="11" t="s">
        <v>32</v>
      </c>
      <c r="M14" s="4" t="n">
        <f aca="false">$B$3*Ruter!H14*$B$9</f>
        <v>6600</v>
      </c>
      <c r="N14" s="4"/>
      <c r="O14" s="4"/>
      <c r="P14" s="4"/>
    </row>
    <row r="15" customFormat="false" ht="14.25" hidden="false" customHeight="true" outlineLevel="0" collapsed="false">
      <c r="G15" s="31" t="s">
        <v>33</v>
      </c>
      <c r="H15" s="31"/>
      <c r="I15" s="31"/>
      <c r="J15" s="31"/>
      <c r="K15" s="31"/>
      <c r="L15" s="31"/>
      <c r="M15" s="20" t="n">
        <f aca="false">SUM(M11:M14)</f>
        <v>27668</v>
      </c>
      <c r="N15" s="20" t="n">
        <f aca="false">$B$8*Ruter!N15</f>
        <v>3376</v>
      </c>
      <c r="O15" s="20" t="n">
        <f aca="false">$B$2*Ruter!M15</f>
        <v>79610.1428571429</v>
      </c>
      <c r="P15" s="32" t="n">
        <f aca="false">SUM(M15:O15)</f>
        <v>110654.142857143</v>
      </c>
    </row>
    <row r="16" customFormat="false" ht="14.25" hidden="false" customHeight="true" outlineLevel="0" collapsed="false">
      <c r="P16" s="33"/>
    </row>
    <row r="17" customFormat="false" ht="14.25" hidden="false" customHeight="true" outlineLevel="0" collapsed="false"/>
    <row r="18" customFormat="false" ht="14.25" hidden="false" customHeight="true" outlineLevel="0" collapsed="false">
      <c r="P18" s="33"/>
    </row>
    <row r="21" customFormat="false" ht="14.25" hidden="false" customHeight="true" outlineLevel="0" collapsed="false">
      <c r="G21" s="3" t="s">
        <v>42</v>
      </c>
      <c r="H21" s="3" t="s">
        <v>2</v>
      </c>
      <c r="I21" s="3" t="s">
        <v>3</v>
      </c>
      <c r="J21" s="3" t="s">
        <v>4</v>
      </c>
      <c r="K21" s="3" t="s">
        <v>5</v>
      </c>
      <c r="L21" s="3" t="s">
        <v>6</v>
      </c>
      <c r="M21" s="5" t="s">
        <v>56</v>
      </c>
      <c r="N21" s="5" t="s">
        <v>57</v>
      </c>
      <c r="O21" s="5" t="s">
        <v>58</v>
      </c>
      <c r="P21" s="5" t="s">
        <v>59</v>
      </c>
    </row>
    <row r="22" customFormat="false" ht="14.25" hidden="false" customHeight="true" outlineLevel="0" collapsed="false">
      <c r="G22" s="11"/>
      <c r="H22" s="11" t="n">
        <v>1</v>
      </c>
      <c r="I22" s="11"/>
      <c r="J22" s="11" t="s">
        <v>19</v>
      </c>
      <c r="K22" s="11" t="s">
        <v>20</v>
      </c>
      <c r="L22" s="11" t="s">
        <v>44</v>
      </c>
      <c r="M22" s="4" t="n">
        <f aca="false">B4</f>
        <v>6188</v>
      </c>
      <c r="N22" s="4"/>
      <c r="O22" s="4"/>
      <c r="P22" s="4"/>
    </row>
    <row r="23" customFormat="false" ht="14.25" hidden="false" customHeight="true" outlineLevel="0" collapsed="false">
      <c r="G23" s="11"/>
      <c r="H23" s="11" t="n">
        <v>2</v>
      </c>
      <c r="I23" s="11"/>
      <c r="J23" s="11" t="s">
        <v>39</v>
      </c>
      <c r="K23" s="11" t="s">
        <v>44</v>
      </c>
      <c r="L23" s="11" t="s">
        <v>45</v>
      </c>
      <c r="M23" s="4" t="n">
        <f aca="false">$B$3*Ruter!H23*$B$9</f>
        <v>10200</v>
      </c>
      <c r="N23" s="4"/>
      <c r="O23" s="4"/>
      <c r="P23" s="4"/>
    </row>
    <row r="24" customFormat="false" ht="14.25" hidden="false" customHeight="true" outlineLevel="0" collapsed="false">
      <c r="G24" s="11"/>
      <c r="H24" s="11" t="n">
        <v>3</v>
      </c>
      <c r="I24" s="11"/>
      <c r="J24" s="11" t="s">
        <v>39</v>
      </c>
      <c r="K24" s="11" t="s">
        <v>45</v>
      </c>
      <c r="L24" s="11" t="s">
        <v>41</v>
      </c>
      <c r="M24" s="4" t="n">
        <f aca="false">$B$3*Ruter!H24*$B$9</f>
        <v>4800</v>
      </c>
      <c r="N24" s="4"/>
      <c r="O24" s="4"/>
      <c r="P24" s="4"/>
    </row>
    <row r="25" customFormat="false" ht="14.25" hidden="false" customHeight="true" outlineLevel="0" collapsed="false">
      <c r="G25" s="11"/>
      <c r="H25" s="11" t="n">
        <v>4</v>
      </c>
      <c r="I25" s="11"/>
      <c r="J25" s="11" t="s">
        <v>39</v>
      </c>
      <c r="K25" s="11" t="s">
        <v>41</v>
      </c>
      <c r="L25" s="11" t="s">
        <v>32</v>
      </c>
      <c r="M25" s="4" t="n">
        <f aca="false">$B$3*Ruter!H25*$B$9</f>
        <v>6600</v>
      </c>
      <c r="N25" s="4"/>
      <c r="O25" s="4"/>
      <c r="P25" s="4"/>
    </row>
    <row r="26" customFormat="false" ht="14.25" hidden="false" customHeight="true" outlineLevel="0" collapsed="false">
      <c r="G26" s="34" t="s">
        <v>33</v>
      </c>
      <c r="H26" s="34"/>
      <c r="I26" s="34"/>
      <c r="J26" s="34"/>
      <c r="K26" s="34"/>
      <c r="L26" s="34"/>
      <c r="M26" s="20" t="n">
        <f aca="false">SUM(M22:M25)</f>
        <v>27788</v>
      </c>
      <c r="N26" s="20" t="n">
        <f aca="false">$B$8*Ruter!N26</f>
        <v>3376</v>
      </c>
      <c r="O26" s="20" t="n">
        <f aca="false">B2*Ruter!M26</f>
        <v>77385</v>
      </c>
      <c r="P26" s="30" t="n">
        <f aca="false">SUM(M26:O26)</f>
        <v>108549</v>
      </c>
    </row>
    <row r="27" customFormat="false" ht="14.25" hidden="false" customHeight="true" outlineLevel="0" collapsed="false">
      <c r="P27" s="33"/>
    </row>
    <row r="30" customFormat="false" ht="14.25" hidden="false" customHeight="true" outlineLevel="0" collapsed="false">
      <c r="G30" s="11" t="s">
        <v>46</v>
      </c>
      <c r="H30" s="3" t="s">
        <v>2</v>
      </c>
      <c r="I30" s="3" t="s">
        <v>3</v>
      </c>
      <c r="J30" s="3" t="s">
        <v>4</v>
      </c>
      <c r="K30" s="3" t="s">
        <v>5</v>
      </c>
      <c r="L30" s="3" t="s">
        <v>6</v>
      </c>
      <c r="M30" s="5" t="s">
        <v>56</v>
      </c>
      <c r="N30" s="5" t="s">
        <v>57</v>
      </c>
      <c r="O30" s="5" t="s">
        <v>58</v>
      </c>
      <c r="P30" s="5" t="s">
        <v>59</v>
      </c>
    </row>
    <row r="31" customFormat="false" ht="14.25" hidden="false" customHeight="true" outlineLevel="0" collapsed="false">
      <c r="G31" s="11"/>
      <c r="H31" s="11" t="n">
        <v>1</v>
      </c>
      <c r="I31" s="11"/>
      <c r="J31" s="11" t="s">
        <v>19</v>
      </c>
      <c r="K31" s="11" t="s">
        <v>20</v>
      </c>
      <c r="L31" s="11" t="s">
        <v>44</v>
      </c>
      <c r="M31" s="4" t="n">
        <f aca="false">B4</f>
        <v>6188</v>
      </c>
      <c r="N31" s="4"/>
      <c r="O31" s="4"/>
      <c r="P31" s="4"/>
    </row>
    <row r="32" customFormat="false" ht="14.25" hidden="false" customHeight="true" outlineLevel="0" collapsed="false">
      <c r="G32" s="11"/>
      <c r="H32" s="11" t="n">
        <v>2</v>
      </c>
      <c r="I32" s="11"/>
      <c r="J32" s="11" t="s">
        <v>39</v>
      </c>
      <c r="K32" s="11" t="s">
        <v>44</v>
      </c>
      <c r="L32" s="11" t="s">
        <v>48</v>
      </c>
      <c r="M32" s="4" t="n">
        <f aca="false">$B$3*Ruter!H33*$B$9</f>
        <v>13200</v>
      </c>
      <c r="N32" s="4"/>
      <c r="O32" s="4"/>
      <c r="P32" s="4"/>
    </row>
    <row r="33" customFormat="false" ht="14.25" hidden="false" customHeight="true" outlineLevel="0" collapsed="false">
      <c r="G33" s="11"/>
      <c r="H33" s="11" t="n">
        <v>3</v>
      </c>
      <c r="I33" s="11"/>
      <c r="J33" s="11" t="s">
        <v>39</v>
      </c>
      <c r="K33" s="11" t="s">
        <v>48</v>
      </c>
      <c r="L33" s="11" t="s">
        <v>29</v>
      </c>
      <c r="M33" s="4" t="n">
        <f aca="false">$B$3*Ruter!H34*$B$9</f>
        <v>6000</v>
      </c>
      <c r="N33" s="4"/>
      <c r="O33" s="4"/>
      <c r="P33" s="4"/>
    </row>
    <row r="34" customFormat="false" ht="14.25" hidden="false" customHeight="true" outlineLevel="0" collapsed="false">
      <c r="G34" s="11"/>
      <c r="H34" s="11" t="n">
        <v>4</v>
      </c>
      <c r="I34" s="11"/>
      <c r="J34" s="11" t="s">
        <v>39</v>
      </c>
      <c r="K34" s="11" t="s">
        <v>49</v>
      </c>
      <c r="L34" s="11" t="s">
        <v>32</v>
      </c>
      <c r="M34" s="4" t="n">
        <f aca="false">$B$3*Ruter!H35*$B$9</f>
        <v>7200</v>
      </c>
      <c r="N34" s="4"/>
      <c r="O34" s="4"/>
      <c r="P34" s="4"/>
    </row>
    <row r="35" customFormat="false" ht="14.25" hidden="false" customHeight="true" outlineLevel="0" collapsed="false">
      <c r="G35" s="34" t="s">
        <v>33</v>
      </c>
      <c r="H35" s="34"/>
      <c r="I35" s="34"/>
      <c r="J35" s="34"/>
      <c r="K35" s="34"/>
      <c r="L35" s="34"/>
      <c r="M35" s="20" t="n">
        <f aca="false">SUM(M31:M34)</f>
        <v>32588</v>
      </c>
      <c r="N35" s="20" t="n">
        <f aca="false">$B$8*Ruter!N36</f>
        <v>3376</v>
      </c>
      <c r="O35" s="20" t="n">
        <f aca="false">B2*Ruter!M36</f>
        <v>82665</v>
      </c>
      <c r="P35" s="30" t="n">
        <f aca="false">SUM(M35:O35)</f>
        <v>118629</v>
      </c>
    </row>
    <row r="36" customFormat="false" ht="14.25" hidden="false" customHeight="true" outlineLevel="0" collapsed="false">
      <c r="P36" s="33"/>
    </row>
    <row r="39" customFormat="false" ht="14.25" hidden="false" customHeight="true" outlineLevel="0" collapsed="false">
      <c r="G39" s="4" t="s">
        <v>51</v>
      </c>
      <c r="H39" s="4" t="s">
        <v>2</v>
      </c>
      <c r="I39" s="4" t="s">
        <v>3</v>
      </c>
      <c r="J39" s="4" t="s">
        <v>4</v>
      </c>
      <c r="K39" s="4" t="s">
        <v>5</v>
      </c>
      <c r="L39" s="4" t="s">
        <v>6</v>
      </c>
      <c r="M39" s="4" t="s">
        <v>56</v>
      </c>
      <c r="N39" s="4" t="s">
        <v>57</v>
      </c>
      <c r="O39" s="4" t="s">
        <v>58</v>
      </c>
      <c r="P39" s="4" t="s">
        <v>59</v>
      </c>
    </row>
    <row r="40" customFormat="false" ht="14.25" hidden="false" customHeight="true" outlineLevel="0" collapsed="false">
      <c r="G40" s="4"/>
      <c r="H40" s="4" t="n">
        <v>1</v>
      </c>
      <c r="I40" s="4" t="s">
        <v>18</v>
      </c>
      <c r="J40" s="4" t="s">
        <v>19</v>
      </c>
      <c r="K40" s="4" t="s">
        <v>20</v>
      </c>
      <c r="L40" s="4" t="s">
        <v>44</v>
      </c>
      <c r="M40" s="4" t="n">
        <f aca="false">B4</f>
        <v>6188</v>
      </c>
      <c r="N40" s="4"/>
      <c r="O40" s="4"/>
      <c r="P40" s="4"/>
    </row>
    <row r="41" customFormat="false" ht="14.25" hidden="false" customHeight="true" outlineLevel="0" collapsed="false">
      <c r="G41" s="4"/>
      <c r="H41" s="4" t="n">
        <v>2</v>
      </c>
      <c r="I41" s="4" t="s">
        <v>18</v>
      </c>
      <c r="J41" s="4" t="s">
        <v>19</v>
      </c>
      <c r="K41" s="4" t="s">
        <v>44</v>
      </c>
      <c r="L41" s="4" t="s">
        <v>53</v>
      </c>
      <c r="M41" s="4" t="n">
        <f aca="false">B4</f>
        <v>6188</v>
      </c>
      <c r="N41" s="4"/>
      <c r="O41" s="4"/>
      <c r="P41" s="4"/>
    </row>
    <row r="42" customFormat="false" ht="14.25" hidden="false" customHeight="true" outlineLevel="0" collapsed="false">
      <c r="G42" s="4"/>
      <c r="H42" s="4" t="n">
        <v>3</v>
      </c>
      <c r="I42" s="4" t="s">
        <v>30</v>
      </c>
      <c r="J42" s="4" t="s">
        <v>25</v>
      </c>
      <c r="K42" s="4" t="s">
        <v>53</v>
      </c>
      <c r="L42" s="4" t="s">
        <v>32</v>
      </c>
      <c r="M42" s="4" t="n">
        <f aca="false">$B$5*Ruter!H42*$B$9</f>
        <v>6664</v>
      </c>
      <c r="N42" s="4"/>
      <c r="O42" s="4"/>
      <c r="P42" s="4"/>
    </row>
    <row r="43" customFormat="false" ht="14.25" hidden="false" customHeight="true" outlineLevel="0" collapsed="false">
      <c r="G43" s="20" t="s">
        <v>33</v>
      </c>
      <c r="H43" s="20"/>
      <c r="I43" s="20"/>
      <c r="J43" s="20"/>
      <c r="K43" s="20"/>
      <c r="L43" s="20"/>
      <c r="M43" s="20" t="n">
        <f aca="false">SUM(M40:M42)</f>
        <v>19040</v>
      </c>
      <c r="N43" s="20" t="n">
        <f aca="false">$B$8*Ruter!N43</f>
        <v>5064</v>
      </c>
      <c r="O43" s="20" t="n">
        <f aca="false">$B$2*Ruter!M43</f>
        <v>81703</v>
      </c>
      <c r="P43" s="32" t="n">
        <f aca="false">SUM(M43:O43)</f>
        <v>105807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7"/>
  <sheetViews>
    <sheetView showFormulas="false" showGridLines="true" showRowColHeaders="true" showZeros="true" rightToLeft="false" tabSelected="false" showOutlineSymbols="true" defaultGridColor="true" view="normal" topLeftCell="A1" colorId="64" zoomScale="72" zoomScaleNormal="72" zoomScalePageLayoutView="100" workbookViewId="0">
      <selection pane="topLeft" activeCell="A2" activeCellId="0" sqref="A2"/>
    </sheetView>
  </sheetViews>
  <sheetFormatPr defaultColWidth="8.53125" defaultRowHeight="14.25" zeroHeight="false" outlineLevelRow="0" outlineLevelCol="0"/>
  <cols>
    <col collapsed="false" customWidth="true" hidden="false" outlineLevel="0" max="2" min="2" style="1" width="19.53"/>
    <col collapsed="false" customWidth="true" hidden="false" outlineLevel="0" max="3" min="3" style="1" width="11.27"/>
    <col collapsed="false" customWidth="true" hidden="false" outlineLevel="0" max="4" min="4" style="1" width="11"/>
  </cols>
  <sheetData>
    <row r="2" customFormat="false" ht="14.25" hidden="false" customHeight="true" outlineLevel="0" collapsed="false">
      <c r="A2" s="1" t="s">
        <v>73</v>
      </c>
      <c r="B2" s="1" t="s">
        <v>59</v>
      </c>
      <c r="C2" s="1" t="s">
        <v>13</v>
      </c>
      <c r="D2" s="1" t="s">
        <v>74</v>
      </c>
    </row>
    <row r="3" customFormat="false" ht="14.25" hidden="false" customHeight="true" outlineLevel="0" collapsed="false">
      <c r="A3" s="35" t="s">
        <v>17</v>
      </c>
      <c r="B3" s="33" t="n">
        <f aca="false">Kostnadsmodeller!P7</f>
        <v>121864.142857143</v>
      </c>
      <c r="C3" s="25" t="n">
        <f aca="false">Ruter!N7</f>
        <v>3</v>
      </c>
      <c r="D3" s="36" t="n">
        <f aca="false">Ruter!M7</f>
        <v>257.976190476191</v>
      </c>
    </row>
    <row r="4" customFormat="false" ht="14.25" hidden="false" customHeight="true" outlineLevel="0" collapsed="false">
      <c r="A4" s="37" t="s">
        <v>37</v>
      </c>
      <c r="B4" s="33" t="n">
        <f aca="false">Kostnadsmodeller!P15</f>
        <v>110654.142857143</v>
      </c>
      <c r="C4" s="25" t="n">
        <f aca="false">Ruter!N15</f>
        <v>2</v>
      </c>
      <c r="D4" s="36" t="n">
        <f aca="false">Ruter!M15</f>
        <v>241.242857142857</v>
      </c>
    </row>
    <row r="5" customFormat="false" ht="14.25" hidden="false" customHeight="true" outlineLevel="0" collapsed="false">
      <c r="A5" s="20" t="s">
        <v>43</v>
      </c>
      <c r="B5" s="33" t="n">
        <f aca="false">Kostnadsmodeller!P26</f>
        <v>108549</v>
      </c>
      <c r="C5" s="1" t="n">
        <f aca="false">Ruter!N26</f>
        <v>2</v>
      </c>
      <c r="D5" s="1" t="n">
        <f aca="false">Ruter!M26</f>
        <v>234.5</v>
      </c>
    </row>
    <row r="6" customFormat="false" ht="14.25" hidden="false" customHeight="true" outlineLevel="0" collapsed="false">
      <c r="A6" s="26" t="s">
        <v>47</v>
      </c>
      <c r="B6" s="33" t="n">
        <f aca="false">Kostnadsmodeller!P35</f>
        <v>118629</v>
      </c>
      <c r="C6" s="1" t="n">
        <f aca="false">Ruter!N36</f>
        <v>2</v>
      </c>
      <c r="D6" s="1" t="n">
        <f aca="false">Ruter!M36</f>
        <v>250.5</v>
      </c>
    </row>
    <row r="7" customFormat="false" ht="14.25" hidden="false" customHeight="true" outlineLevel="0" collapsed="false">
      <c r="A7" s="1" t="s">
        <v>52</v>
      </c>
      <c r="B7" s="33" t="n">
        <f aca="false">Kostnadsmodeller!P43</f>
        <v>105807</v>
      </c>
      <c r="C7" s="1" t="n">
        <f aca="false">Ruter!N43</f>
        <v>3</v>
      </c>
      <c r="D7" s="1" t="n">
        <f aca="false">Ruter!M43</f>
        <v>247.584848484849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38"/>
    <col collapsed="false" customWidth="true" hidden="false" outlineLevel="0" max="6" min="6" style="1" width="35"/>
  </cols>
  <sheetData>
    <row r="1" customFormat="false" ht="17.25" hidden="false" customHeight="true" outlineLevel="0" collapsed="false">
      <c r="A1" s="38" t="s">
        <v>75</v>
      </c>
      <c r="B1" s="38"/>
      <c r="C1" s="38"/>
      <c r="D1" s="38"/>
      <c r="E1" s="38"/>
      <c r="F1" s="38"/>
    </row>
    <row r="2" customFormat="false" ht="15" hidden="false" customHeight="true" outlineLevel="0" collapsed="false">
      <c r="A2" s="39" t="s">
        <v>76</v>
      </c>
      <c r="B2" s="39"/>
      <c r="C2" s="39"/>
      <c r="D2" s="39"/>
      <c r="E2" s="39"/>
      <c r="F2" s="39"/>
    </row>
    <row r="4" customFormat="false" ht="15" hidden="false" customHeight="true" outlineLevel="0" collapsed="false">
      <c r="A4" s="40" t="s">
        <v>77</v>
      </c>
      <c r="B4" s="40"/>
      <c r="C4" s="40"/>
      <c r="D4" s="40"/>
      <c r="E4" s="40"/>
      <c r="F4" s="40"/>
    </row>
    <row r="5" customFormat="false" ht="15" hidden="false" customHeight="true" outlineLevel="0" collapsed="false">
      <c r="A5" s="41" t="s">
        <v>4</v>
      </c>
      <c r="B5" s="41" t="s">
        <v>78</v>
      </c>
      <c r="C5" s="41" t="s">
        <v>79</v>
      </c>
      <c r="D5" s="41" t="s">
        <v>80</v>
      </c>
      <c r="E5" s="41" t="s">
        <v>81</v>
      </c>
    </row>
    <row r="6" customFormat="false" ht="15" hidden="false" customHeight="true" outlineLevel="0" collapsed="false">
      <c r="A6" s="42" t="s">
        <v>19</v>
      </c>
      <c r="B6" s="42" t="s">
        <v>82</v>
      </c>
      <c r="C6" s="43" t="n">
        <v>0.12</v>
      </c>
      <c r="D6" s="42" t="s">
        <v>83</v>
      </c>
      <c r="E6" s="42" t="s">
        <v>84</v>
      </c>
    </row>
    <row r="7" customFormat="false" ht="15" hidden="false" customHeight="true" outlineLevel="0" collapsed="false">
      <c r="A7" s="42" t="s">
        <v>85</v>
      </c>
      <c r="B7" s="42" t="s">
        <v>82</v>
      </c>
      <c r="C7" s="43" t="n">
        <v>0.15</v>
      </c>
      <c r="D7" s="42" t="s">
        <v>86</v>
      </c>
      <c r="E7" s="42" t="s">
        <v>87</v>
      </c>
    </row>
    <row r="8" customFormat="false" ht="15" hidden="false" customHeight="true" outlineLevel="0" collapsed="false">
      <c r="A8" s="42" t="s">
        <v>22</v>
      </c>
      <c r="B8" s="42" t="s">
        <v>82</v>
      </c>
      <c r="C8" s="43" t="n">
        <v>0.2</v>
      </c>
      <c r="D8" s="42" t="s">
        <v>88</v>
      </c>
      <c r="E8" s="42" t="s">
        <v>89</v>
      </c>
    </row>
    <row r="9" customFormat="false" ht="15" hidden="false" customHeight="true" outlineLevel="0" collapsed="false">
      <c r="A9" s="42" t="s">
        <v>28</v>
      </c>
      <c r="B9" s="42" t="s">
        <v>82</v>
      </c>
      <c r="C9" s="43" t="n">
        <v>0.2</v>
      </c>
      <c r="D9" s="42" t="s">
        <v>90</v>
      </c>
      <c r="E9" s="42" t="s">
        <v>91</v>
      </c>
    </row>
    <row r="10" customFormat="false" ht="15" hidden="false" customHeight="true" outlineLevel="0" collapsed="false">
      <c r="A10" s="42" t="s">
        <v>31</v>
      </c>
      <c r="B10" s="42" t="s">
        <v>82</v>
      </c>
      <c r="C10" s="43" t="n">
        <v>0.2</v>
      </c>
      <c r="D10" s="42" t="s">
        <v>92</v>
      </c>
      <c r="E10" s="42" t="s">
        <v>91</v>
      </c>
    </row>
    <row r="11" customFormat="false" ht="15" hidden="false" customHeight="true" outlineLevel="0" collapsed="false">
      <c r="A11" s="42" t="s">
        <v>39</v>
      </c>
      <c r="B11" s="42" t="s">
        <v>82</v>
      </c>
      <c r="C11" s="43" t="n">
        <v>0.2</v>
      </c>
      <c r="D11" s="42" t="s">
        <v>93</v>
      </c>
      <c r="E11" s="42" t="s">
        <v>91</v>
      </c>
    </row>
    <row r="12" customFormat="false" ht="15" hidden="false" customHeight="true" outlineLevel="0" collapsed="false">
      <c r="A12" s="42" t="s">
        <v>25</v>
      </c>
      <c r="B12" s="42" t="s">
        <v>82</v>
      </c>
      <c r="C12" s="43" t="n">
        <v>0.08</v>
      </c>
      <c r="D12" s="42" t="s">
        <v>94</v>
      </c>
      <c r="E12" s="42" t="s">
        <v>95</v>
      </c>
    </row>
    <row r="15" customFormat="false" ht="15" hidden="false" customHeight="true" outlineLevel="0" collapsed="false">
      <c r="A15" s="40" t="s">
        <v>96</v>
      </c>
      <c r="B15" s="40"/>
      <c r="C15" s="40"/>
      <c r="D15" s="40"/>
      <c r="E15" s="40"/>
      <c r="F15" s="40"/>
    </row>
    <row r="16" customFormat="false" ht="15" hidden="false" customHeight="true" outlineLevel="0" collapsed="false">
      <c r="A16" s="41" t="s">
        <v>97</v>
      </c>
      <c r="B16" s="41" t="s">
        <v>98</v>
      </c>
      <c r="C16" s="41" t="s">
        <v>99</v>
      </c>
      <c r="D16" s="41" t="s">
        <v>100</v>
      </c>
      <c r="E16" s="41" t="s">
        <v>80</v>
      </c>
      <c r="F16" s="41" t="s">
        <v>81</v>
      </c>
    </row>
    <row r="17" customFormat="false" ht="15" hidden="false" customHeight="true" outlineLevel="0" collapsed="false">
      <c r="A17" s="42" t="s">
        <v>19</v>
      </c>
      <c r="B17" s="44" t="n">
        <v>6</v>
      </c>
      <c r="C17" s="44" t="n">
        <v>12</v>
      </c>
      <c r="D17" s="44" t="n">
        <v>24</v>
      </c>
      <c r="E17" s="42" t="s">
        <v>101</v>
      </c>
      <c r="F17" s="42" t="s">
        <v>102</v>
      </c>
    </row>
    <row r="18" customFormat="false" ht="15" hidden="false" customHeight="true" outlineLevel="0" collapsed="false">
      <c r="A18" s="42" t="s">
        <v>85</v>
      </c>
      <c r="B18" s="44" t="n">
        <v>8</v>
      </c>
      <c r="C18" s="44" t="n">
        <v>12</v>
      </c>
      <c r="D18" s="44" t="n">
        <v>24</v>
      </c>
      <c r="E18" s="42" t="s">
        <v>103</v>
      </c>
      <c r="F18" s="42" t="s">
        <v>104</v>
      </c>
    </row>
    <row r="19" customFormat="false" ht="15" hidden="false" customHeight="true" outlineLevel="0" collapsed="false">
      <c r="A19" s="42" t="s">
        <v>39</v>
      </c>
      <c r="B19" s="44" t="n">
        <v>3</v>
      </c>
      <c r="C19" s="44" t="n">
        <v>6</v>
      </c>
      <c r="D19" s="44" t="n">
        <v>12</v>
      </c>
      <c r="E19" s="42" t="s">
        <v>105</v>
      </c>
      <c r="F19" s="42" t="s">
        <v>106</v>
      </c>
    </row>
    <row r="20" customFormat="false" ht="15" hidden="false" customHeight="true" outlineLevel="0" collapsed="false">
      <c r="A20" s="42" t="s">
        <v>22</v>
      </c>
      <c r="B20" s="44" t="n">
        <v>3</v>
      </c>
      <c r="C20" s="44" t="n">
        <v>6</v>
      </c>
      <c r="D20" s="44" t="n">
        <v>12</v>
      </c>
      <c r="E20" s="42" t="s">
        <v>107</v>
      </c>
      <c r="F20" s="42" t="s">
        <v>108</v>
      </c>
    </row>
    <row r="21" customFormat="false" ht="15" hidden="false" customHeight="true" outlineLevel="0" collapsed="false">
      <c r="A21" s="42" t="s">
        <v>28</v>
      </c>
      <c r="B21" s="44" t="n">
        <v>3</v>
      </c>
      <c r="C21" s="44" t="n">
        <v>6</v>
      </c>
      <c r="D21" s="44" t="n">
        <v>12</v>
      </c>
      <c r="E21" s="42" t="s">
        <v>107</v>
      </c>
      <c r="F21" s="42" t="s">
        <v>108</v>
      </c>
    </row>
    <row r="22" customFormat="false" ht="15" hidden="false" customHeight="true" outlineLevel="0" collapsed="false">
      <c r="A22" s="42" t="s">
        <v>31</v>
      </c>
      <c r="B22" s="44" t="n">
        <v>2</v>
      </c>
      <c r="C22" s="44" t="n">
        <v>4</v>
      </c>
      <c r="D22" s="44" t="n">
        <v>8</v>
      </c>
      <c r="E22" s="42" t="s">
        <v>109</v>
      </c>
      <c r="F22" s="42" t="s">
        <v>108</v>
      </c>
    </row>
    <row r="23" customFormat="false" ht="15" hidden="false" customHeight="true" outlineLevel="0" collapsed="false">
      <c r="A23" s="42" t="s">
        <v>25</v>
      </c>
      <c r="B23" s="44" t="n">
        <v>2</v>
      </c>
      <c r="C23" s="44" t="n">
        <v>4</v>
      </c>
      <c r="D23" s="44" t="n">
        <v>8</v>
      </c>
      <c r="E23" s="42" t="s">
        <v>110</v>
      </c>
      <c r="F23" s="42" t="s">
        <v>111</v>
      </c>
    </row>
    <row r="26" customFormat="false" ht="15" hidden="false" customHeight="true" outlineLevel="0" collapsed="false">
      <c r="A26" s="40" t="s">
        <v>112</v>
      </c>
      <c r="B26" s="40"/>
      <c r="C26" s="40"/>
      <c r="D26" s="40"/>
      <c r="E26" s="40"/>
      <c r="F26" s="40"/>
    </row>
    <row r="27" customFormat="false" ht="27.75" hidden="false" customHeight="true" outlineLevel="0" collapsed="false">
      <c r="A27" s="39" t="s">
        <v>113</v>
      </c>
      <c r="B27" s="39"/>
      <c r="C27" s="39"/>
      <c r="D27" s="39"/>
      <c r="E27" s="39"/>
      <c r="F27" s="39"/>
    </row>
    <row r="28" customFormat="false" ht="15" hidden="false" customHeight="true" outlineLevel="0" collapsed="false">
      <c r="A28" s="41" t="s">
        <v>4</v>
      </c>
      <c r="B28" s="41" t="s">
        <v>114</v>
      </c>
      <c r="C28" s="41" t="s">
        <v>115</v>
      </c>
      <c r="D28" s="41" t="s">
        <v>81</v>
      </c>
    </row>
    <row r="29" customFormat="false" ht="15" hidden="false" customHeight="true" outlineLevel="0" collapsed="false">
      <c r="A29" s="42" t="s">
        <v>19</v>
      </c>
      <c r="B29" s="44" t="n">
        <v>68</v>
      </c>
      <c r="C29" s="42" t="s">
        <v>116</v>
      </c>
      <c r="D29" s="42" t="s">
        <v>117</v>
      </c>
    </row>
    <row r="30" customFormat="false" ht="15" hidden="false" customHeight="true" outlineLevel="0" collapsed="false">
      <c r="A30" s="42" t="s">
        <v>85</v>
      </c>
      <c r="B30" s="44" t="n">
        <v>68</v>
      </c>
      <c r="C30" s="42" t="s">
        <v>118</v>
      </c>
      <c r="D30" s="42" t="s">
        <v>119</v>
      </c>
    </row>
    <row r="31" customFormat="false" ht="15" hidden="false" customHeight="true" outlineLevel="0" collapsed="false">
      <c r="A31" s="42" t="s">
        <v>39</v>
      </c>
      <c r="B31" s="44" t="n">
        <v>48</v>
      </c>
      <c r="C31" s="42" t="s">
        <v>120</v>
      </c>
      <c r="D31" s="42" t="s">
        <v>121</v>
      </c>
    </row>
    <row r="32" customFormat="false" ht="15" hidden="false" customHeight="true" outlineLevel="0" collapsed="false">
      <c r="A32" s="42" t="s">
        <v>22</v>
      </c>
      <c r="B32" s="44" t="n">
        <v>48</v>
      </c>
      <c r="C32" s="42" t="s">
        <v>107</v>
      </c>
      <c r="D32" s="42" t="s">
        <v>122</v>
      </c>
    </row>
    <row r="33" customFormat="false" ht="15" hidden="false" customHeight="true" outlineLevel="0" collapsed="false">
      <c r="A33" s="42" t="s">
        <v>28</v>
      </c>
      <c r="B33" s="44" t="n">
        <v>48</v>
      </c>
      <c r="C33" s="42" t="s">
        <v>107</v>
      </c>
      <c r="D33" s="42" t="s">
        <v>122</v>
      </c>
    </row>
    <row r="34" customFormat="false" ht="15" hidden="false" customHeight="true" outlineLevel="0" collapsed="false">
      <c r="A34" s="42" t="s">
        <v>31</v>
      </c>
      <c r="B34" s="44" t="n">
        <v>48</v>
      </c>
      <c r="C34" s="42" t="s">
        <v>107</v>
      </c>
      <c r="D34" s="42" t="s">
        <v>122</v>
      </c>
    </row>
    <row r="35" customFormat="false" ht="15" hidden="false" customHeight="true" outlineLevel="0" collapsed="false">
      <c r="A35" s="42" t="s">
        <v>25</v>
      </c>
      <c r="B35" s="44" t="n">
        <v>0</v>
      </c>
      <c r="C35" s="42" t="s">
        <v>123</v>
      </c>
      <c r="D35" s="42" t="s">
        <v>111</v>
      </c>
    </row>
    <row r="38" customFormat="false" ht="15" hidden="false" customHeight="true" outlineLevel="0" collapsed="false">
      <c r="A38" s="40" t="s">
        <v>124</v>
      </c>
      <c r="B38" s="40"/>
      <c r="C38" s="40"/>
      <c r="D38" s="40"/>
      <c r="E38" s="40"/>
      <c r="F38" s="40"/>
    </row>
    <row r="39" customFormat="false" ht="15" hidden="false" customHeight="true" outlineLevel="0" collapsed="false">
      <c r="A39" s="41" t="s">
        <v>125</v>
      </c>
      <c r="B39" s="41" t="s">
        <v>98</v>
      </c>
      <c r="C39" s="41" t="s">
        <v>4</v>
      </c>
      <c r="D39" s="41" t="s">
        <v>100</v>
      </c>
      <c r="E39" s="41" t="s">
        <v>80</v>
      </c>
      <c r="F39" s="41" t="s">
        <v>81</v>
      </c>
    </row>
    <row r="40" customFormat="false" ht="15" hidden="false" customHeight="true" outlineLevel="0" collapsed="false">
      <c r="A40" s="42" t="s">
        <v>126</v>
      </c>
      <c r="B40" s="44" t="n">
        <v>0.25</v>
      </c>
      <c r="C40" s="44" t="n">
        <v>0.5</v>
      </c>
      <c r="D40" s="44" t="n">
        <v>1</v>
      </c>
      <c r="E40" s="42" t="s">
        <v>127</v>
      </c>
      <c r="F40" s="42" t="s">
        <v>128</v>
      </c>
    </row>
    <row r="41" customFormat="false" ht="15" hidden="false" customHeight="true" outlineLevel="0" collapsed="false">
      <c r="A41" s="42" t="s">
        <v>129</v>
      </c>
      <c r="B41" s="44" t="n">
        <v>2</v>
      </c>
      <c r="C41" s="44" t="n">
        <v>3</v>
      </c>
      <c r="D41" s="44" t="n">
        <v>5</v>
      </c>
      <c r="E41" s="42" t="s">
        <v>130</v>
      </c>
      <c r="F41" s="42" t="s">
        <v>131</v>
      </c>
    </row>
    <row r="42" customFormat="false" ht="15" hidden="false" customHeight="true" outlineLevel="0" collapsed="false">
      <c r="A42" s="42" t="s">
        <v>132</v>
      </c>
      <c r="B42" s="44" t="n">
        <v>0</v>
      </c>
      <c r="C42" s="44" t="n">
        <v>0</v>
      </c>
      <c r="D42" s="44" t="n">
        <v>0</v>
      </c>
      <c r="E42" s="42" t="s">
        <v>133</v>
      </c>
      <c r="F42" s="42" t="s">
        <v>134</v>
      </c>
    </row>
    <row r="45" customFormat="false" ht="15" hidden="false" customHeight="true" outlineLevel="0" collapsed="false">
      <c r="A45" s="40" t="s">
        <v>135</v>
      </c>
      <c r="B45" s="40"/>
      <c r="C45" s="40"/>
      <c r="D45" s="40"/>
      <c r="E45" s="40"/>
      <c r="F45" s="40"/>
    </row>
    <row r="46" customFormat="false" ht="27.75" hidden="false" customHeight="true" outlineLevel="0" collapsed="false">
      <c r="A46" s="39" t="s">
        <v>136</v>
      </c>
      <c r="B46" s="39"/>
      <c r="C46" s="39"/>
      <c r="D46" s="39"/>
      <c r="E46" s="39"/>
      <c r="F46" s="39"/>
    </row>
    <row r="47" customFormat="false" ht="15" hidden="false" customHeight="true" outlineLevel="0" collapsed="false">
      <c r="A47" s="41" t="s">
        <v>4</v>
      </c>
      <c r="B47" s="41" t="s">
        <v>137</v>
      </c>
      <c r="C47" s="41" t="s">
        <v>138</v>
      </c>
      <c r="D47" s="41" t="s">
        <v>139</v>
      </c>
      <c r="E47" s="41" t="s">
        <v>140</v>
      </c>
      <c r="F47" s="41" t="s">
        <v>141</v>
      </c>
    </row>
    <row r="48" customFormat="false" ht="15" hidden="false" customHeight="true" outlineLevel="0" collapsed="false">
      <c r="A48" s="42" t="s">
        <v>19</v>
      </c>
      <c r="B48" s="44" t="n">
        <v>0.05</v>
      </c>
      <c r="C48" s="44" t="n">
        <v>12</v>
      </c>
      <c r="D48" s="44" t="n">
        <v>24</v>
      </c>
      <c r="E48" s="44" t="n">
        <v>72</v>
      </c>
      <c r="F48" s="42" t="s">
        <v>142</v>
      </c>
    </row>
    <row r="49" customFormat="false" ht="15" hidden="false" customHeight="true" outlineLevel="0" collapsed="false">
      <c r="A49" s="42" t="s">
        <v>85</v>
      </c>
      <c r="B49" s="44" t="n">
        <v>0.05</v>
      </c>
      <c r="C49" s="44" t="n">
        <v>12</v>
      </c>
      <c r="D49" s="44" t="n">
        <v>24</v>
      </c>
      <c r="E49" s="44" t="n">
        <v>72</v>
      </c>
      <c r="F49" s="42" t="s">
        <v>143</v>
      </c>
    </row>
    <row r="50" customFormat="false" ht="15" hidden="false" customHeight="true" outlineLevel="0" collapsed="false">
      <c r="A50" s="42" t="s">
        <v>39</v>
      </c>
      <c r="B50" s="44" t="n">
        <v>0.08</v>
      </c>
      <c r="C50" s="44" t="n">
        <v>12</v>
      </c>
      <c r="D50" s="44" t="n">
        <v>24</v>
      </c>
      <c r="E50" s="44" t="n">
        <v>72</v>
      </c>
      <c r="F50" s="42" t="s">
        <v>144</v>
      </c>
    </row>
    <row r="51" customFormat="false" ht="15" hidden="false" customHeight="true" outlineLevel="0" collapsed="false">
      <c r="A51" s="42" t="s">
        <v>22</v>
      </c>
      <c r="B51" s="44" t="n">
        <v>0.08</v>
      </c>
      <c r="C51" s="44" t="n">
        <v>12</v>
      </c>
      <c r="D51" s="44" t="n">
        <v>24</v>
      </c>
      <c r="E51" s="44" t="n">
        <v>72</v>
      </c>
      <c r="F51" s="42" t="s">
        <v>107</v>
      </c>
    </row>
    <row r="52" customFormat="false" ht="15" hidden="false" customHeight="true" outlineLevel="0" collapsed="false">
      <c r="A52" s="42" t="s">
        <v>28</v>
      </c>
      <c r="B52" s="44" t="n">
        <v>0.08</v>
      </c>
      <c r="C52" s="44" t="n">
        <v>12</v>
      </c>
      <c r="D52" s="44" t="n">
        <v>24</v>
      </c>
      <c r="E52" s="44" t="n">
        <v>72</v>
      </c>
      <c r="F52" s="42" t="s">
        <v>107</v>
      </c>
    </row>
    <row r="53" customFormat="false" ht="15" hidden="false" customHeight="true" outlineLevel="0" collapsed="false">
      <c r="A53" s="42" t="s">
        <v>31</v>
      </c>
      <c r="B53" s="44" t="n">
        <v>0.08</v>
      </c>
      <c r="C53" s="44" t="n">
        <v>12</v>
      </c>
      <c r="D53" s="44" t="n">
        <v>24</v>
      </c>
      <c r="E53" s="44" t="n">
        <v>72</v>
      </c>
      <c r="F53" s="42" t="s">
        <v>107</v>
      </c>
    </row>
    <row r="54" customFormat="false" ht="15" hidden="false" customHeight="true" outlineLevel="0" collapsed="false">
      <c r="A54" s="42" t="s">
        <v>25</v>
      </c>
      <c r="B54" s="44" t="n">
        <v>0.03</v>
      </c>
      <c r="C54" s="44" t="n">
        <v>4</v>
      </c>
      <c r="D54" s="44" t="n">
        <v>12</v>
      </c>
      <c r="E54" s="44" t="n">
        <v>24</v>
      </c>
      <c r="F54" s="42" t="s">
        <v>145</v>
      </c>
    </row>
    <row r="57" customFormat="false" ht="15" hidden="false" customHeight="true" outlineLevel="0" collapsed="false">
      <c r="A57" s="40" t="s">
        <v>146</v>
      </c>
      <c r="B57" s="40"/>
      <c r="C57" s="40"/>
      <c r="D57" s="40"/>
      <c r="E57" s="40"/>
      <c r="F57" s="40"/>
    </row>
    <row r="58" customFormat="false" ht="15" hidden="false" customHeight="true" outlineLevel="0" collapsed="false">
      <c r="A58" s="41" t="s">
        <v>147</v>
      </c>
      <c r="B58" s="41" t="s">
        <v>148</v>
      </c>
      <c r="C58" s="41" t="s">
        <v>80</v>
      </c>
    </row>
    <row r="59" customFormat="false" ht="15" hidden="false" customHeight="true" outlineLevel="0" collapsed="false">
      <c r="A59" s="42" t="s">
        <v>149</v>
      </c>
      <c r="B59" s="44" t="n">
        <v>10000</v>
      </c>
      <c r="C59" s="42" t="s">
        <v>150</v>
      </c>
    </row>
    <row r="60" customFormat="false" ht="15" hidden="false" customHeight="true" outlineLevel="0" collapsed="false">
      <c r="A60" s="42" t="s">
        <v>151</v>
      </c>
      <c r="B60" s="44" t="n">
        <v>42</v>
      </c>
      <c r="C60" s="42" t="s">
        <v>152</v>
      </c>
    </row>
    <row r="61" customFormat="false" ht="15" hidden="false" customHeight="true" outlineLevel="0" collapsed="false">
      <c r="A61" s="42" t="s">
        <v>153</v>
      </c>
      <c r="B61" s="44" t="n">
        <v>1</v>
      </c>
      <c r="C61" s="42" t="s">
        <v>154</v>
      </c>
    </row>
  </sheetData>
  <mergeCells count="10">
    <mergeCell ref="A1:F1"/>
    <mergeCell ref="A2:F2"/>
    <mergeCell ref="A4:F4"/>
    <mergeCell ref="A15:F15"/>
    <mergeCell ref="A26:F26"/>
    <mergeCell ref="A27:F27"/>
    <mergeCell ref="A38:F38"/>
    <mergeCell ref="A45:F45"/>
    <mergeCell ref="A46:F46"/>
    <mergeCell ref="A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50"/>
  </cols>
  <sheetData>
    <row r="1" customFormat="false" ht="17.25" hidden="false" customHeight="true" outlineLevel="0" collapsed="false">
      <c r="A1" s="38" t="s">
        <v>155</v>
      </c>
      <c r="B1" s="38"/>
      <c r="C1" s="38"/>
      <c r="D1" s="38"/>
    </row>
    <row r="2" customFormat="false" ht="15" hidden="false" customHeight="true" outlineLevel="0" collapsed="false">
      <c r="A2" s="39" t="s">
        <v>156</v>
      </c>
      <c r="B2" s="39"/>
      <c r="C2" s="39"/>
      <c r="D2" s="39"/>
    </row>
    <row r="4" customFormat="false" ht="15" hidden="false" customHeight="true" outlineLevel="0" collapsed="false">
      <c r="A4" s="41" t="s">
        <v>147</v>
      </c>
      <c r="B4" s="41" t="s">
        <v>148</v>
      </c>
      <c r="C4" s="41" t="s">
        <v>157</v>
      </c>
      <c r="D4" s="41" t="s">
        <v>81</v>
      </c>
    </row>
    <row r="5" customFormat="false" ht="15" hidden="false" customHeight="true" outlineLevel="0" collapsed="false">
      <c r="A5" s="42" t="s">
        <v>158</v>
      </c>
      <c r="B5" s="44" t="n">
        <v>330</v>
      </c>
      <c r="C5" s="42" t="s">
        <v>159</v>
      </c>
      <c r="D5" s="42" t="s">
        <v>160</v>
      </c>
    </row>
    <row r="6" customFormat="false" ht="15" hidden="false" customHeight="true" outlineLevel="0" collapsed="false">
      <c r="A6" s="42" t="s">
        <v>161</v>
      </c>
      <c r="B6" s="44" t="n">
        <v>0.8</v>
      </c>
      <c r="C6" s="42" t="s">
        <v>162</v>
      </c>
      <c r="D6" s="42" t="s">
        <v>163</v>
      </c>
    </row>
    <row r="7" customFormat="false" ht="15" hidden="false" customHeight="true" outlineLevel="0" collapsed="false">
      <c r="A7" s="42" t="s">
        <v>164</v>
      </c>
      <c r="B7" s="44" t="n">
        <v>0.5</v>
      </c>
      <c r="C7" s="42" t="s">
        <v>165</v>
      </c>
      <c r="D7" s="42" t="s">
        <v>166</v>
      </c>
    </row>
    <row r="8" customFormat="false" ht="15" hidden="false" customHeight="true" outlineLevel="0" collapsed="false">
      <c r="A8" s="42" t="s">
        <v>167</v>
      </c>
      <c r="B8" s="44" t="n">
        <v>0.5833</v>
      </c>
      <c r="C8" s="42" t="s">
        <v>165</v>
      </c>
      <c r="D8" s="42" t="s">
        <v>168</v>
      </c>
    </row>
    <row r="9" customFormat="false" ht="15" hidden="false" customHeight="true" outlineLevel="0" collapsed="false">
      <c r="A9" s="42" t="s">
        <v>169</v>
      </c>
      <c r="B9" s="44" t="n">
        <v>6188</v>
      </c>
      <c r="C9" s="42" t="s">
        <v>170</v>
      </c>
      <c r="D9" s="42" t="s">
        <v>104</v>
      </c>
    </row>
    <row r="10" customFormat="false" ht="15" hidden="false" customHeight="true" outlineLevel="0" collapsed="false">
      <c r="A10" s="42" t="s">
        <v>171</v>
      </c>
      <c r="B10" s="44" t="n">
        <v>1200</v>
      </c>
      <c r="C10" s="42" t="s">
        <v>172</v>
      </c>
      <c r="D10" s="42" t="s">
        <v>108</v>
      </c>
    </row>
    <row r="11" customFormat="false" ht="15" hidden="false" customHeight="true" outlineLevel="0" collapsed="false">
      <c r="A11" s="42" t="s">
        <v>173</v>
      </c>
      <c r="B11" s="44" t="n">
        <v>1688</v>
      </c>
      <c r="C11" s="42" t="s">
        <v>172</v>
      </c>
      <c r="D11" s="42" t="s">
        <v>108</v>
      </c>
    </row>
    <row r="12" customFormat="false" ht="15" hidden="false" customHeight="true" outlineLevel="0" collapsed="false">
      <c r="A12" s="42" t="s">
        <v>174</v>
      </c>
      <c r="B12" s="44" t="n">
        <v>24</v>
      </c>
      <c r="C12" s="42" t="s">
        <v>175</v>
      </c>
      <c r="D12" s="42" t="s">
        <v>176</v>
      </c>
    </row>
    <row r="15" customFormat="false" ht="15" hidden="false" customHeight="true" outlineLevel="0" collapsed="false">
      <c r="A15" s="40" t="s">
        <v>177</v>
      </c>
      <c r="B15" s="40"/>
      <c r="C15" s="40"/>
      <c r="D15" s="40"/>
    </row>
    <row r="16" customFormat="false" ht="15" hidden="false" customHeight="true" outlineLevel="0" collapsed="false">
      <c r="A16" s="39" t="s">
        <v>178</v>
      </c>
      <c r="B16" s="39"/>
      <c r="C16" s="39"/>
      <c r="D16" s="39"/>
    </row>
    <row r="17" customFormat="false" ht="15" hidden="false" customHeight="true" outlineLevel="0" collapsed="false">
      <c r="A17" s="39" t="s">
        <v>179</v>
      </c>
      <c r="B17" s="39"/>
      <c r="C17" s="39"/>
      <c r="D17" s="39"/>
    </row>
  </sheetData>
  <mergeCells count="5">
    <mergeCell ref="A1:D1"/>
    <mergeCell ref="A2:D2"/>
    <mergeCell ref="A15:D15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2026-03-23T15:15:41Z</dcterms:created>
  <dc:creator>Herman Ose</dc:creator>
  <dc:description/>
  <dc:language>en-US</dc:language>
  <cp:lastModifiedBy/>
  <dcterms:modified xsi:type="dcterms:W3CDTF">2026-04-27T09:39:54Z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