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hermaose_ntnu_no/Documents/Programmering Bachelor/Transport-under-usikkerhet---Monte-Carlo/Herman_sim/bachelor_montecarlo/"/>
    </mc:Choice>
  </mc:AlternateContent>
  <xr:revisionPtr revIDLastSave="29" documentId="13_ncr:1_{5AC497FB-2049-4AA6-91D9-3C030F7F39D4}" xr6:coauthVersionLast="47" xr6:coauthVersionMax="47" xr10:uidLastSave="{134D378E-3566-4F73-8050-D570C1F6EE53}"/>
  <bookViews>
    <workbookView xWindow="-98" yWindow="-98" windowWidth="21795" windowHeight="12975" tabRatio="500" activeTab="3" xr2:uid="{00000000-000D-0000-FFFF-FFFF00000000}"/>
  </bookViews>
  <sheets>
    <sheet name="Ruter" sheetId="1" r:id="rId1"/>
    <sheet name="Kostnadsmodeller" sheetId="2" r:id="rId2"/>
    <sheet name="Charts" sheetId="3" r:id="rId3"/>
    <sheet name="Stokastiske_parametere" sheetId="4" r:id="rId4"/>
    <sheet name="Kostnadsparametere_MC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M49" i="2"/>
  <c r="M48" i="2"/>
  <c r="M31" i="2"/>
  <c r="M42" i="2"/>
  <c r="M41" i="2"/>
  <c r="M40" i="2"/>
  <c r="M34" i="2"/>
  <c r="M33" i="2"/>
  <c r="M32" i="2"/>
  <c r="M25" i="2"/>
  <c r="M24" i="2"/>
  <c r="M23" i="2"/>
  <c r="M22" i="2"/>
  <c r="M14" i="2"/>
  <c r="M13" i="2"/>
  <c r="M12" i="2"/>
  <c r="M11" i="2"/>
  <c r="M15" i="2" s="1"/>
  <c r="M6" i="2"/>
  <c r="M5" i="2"/>
  <c r="M4" i="2"/>
  <c r="M3" i="2"/>
  <c r="M2" i="2"/>
  <c r="P49" i="1"/>
  <c r="O49" i="1"/>
  <c r="C8" i="3" s="1"/>
  <c r="N49" i="1"/>
  <c r="L49" i="1"/>
  <c r="K49" i="1"/>
  <c r="H49" i="1"/>
  <c r="C49" i="1"/>
  <c r="M48" i="1"/>
  <c r="J48" i="1"/>
  <c r="J47" i="1"/>
  <c r="J49" i="1" s="1"/>
  <c r="P43" i="1"/>
  <c r="O43" i="1"/>
  <c r="N43" i="2" s="1"/>
  <c r="N43" i="1"/>
  <c r="L43" i="1"/>
  <c r="K43" i="1"/>
  <c r="H43" i="1"/>
  <c r="C43" i="1"/>
  <c r="J42" i="1"/>
  <c r="M42" i="1" s="1"/>
  <c r="J41" i="1"/>
  <c r="M41" i="1" s="1"/>
  <c r="J40" i="1"/>
  <c r="J43" i="1" s="1"/>
  <c r="P36" i="1"/>
  <c r="O36" i="1"/>
  <c r="C6" i="3" s="1"/>
  <c r="N36" i="1"/>
  <c r="L36" i="1"/>
  <c r="K36" i="1"/>
  <c r="H36" i="1"/>
  <c r="J35" i="1"/>
  <c r="M35" i="1" s="1"/>
  <c r="J34" i="1"/>
  <c r="M34" i="1" s="1"/>
  <c r="J33" i="1"/>
  <c r="M33" i="1" s="1"/>
  <c r="M32" i="1"/>
  <c r="J32" i="1"/>
  <c r="P26" i="1"/>
  <c r="O26" i="1"/>
  <c r="C5" i="3" s="1"/>
  <c r="N26" i="1"/>
  <c r="L26" i="1"/>
  <c r="K26" i="1"/>
  <c r="H26" i="1"/>
  <c r="J25" i="1"/>
  <c r="M25" i="1" s="1"/>
  <c r="J24" i="1"/>
  <c r="M24" i="1" s="1"/>
  <c r="J23" i="1"/>
  <c r="M23" i="1" s="1"/>
  <c r="J22" i="1"/>
  <c r="M22" i="1" s="1"/>
  <c r="P15" i="1"/>
  <c r="O15" i="1"/>
  <c r="N15" i="2" s="1"/>
  <c r="N15" i="1"/>
  <c r="L15" i="1"/>
  <c r="K15" i="1"/>
  <c r="H15" i="1"/>
  <c r="C15" i="1"/>
  <c r="J14" i="1"/>
  <c r="M14" i="1" s="1"/>
  <c r="J13" i="1"/>
  <c r="J15" i="1" s="1"/>
  <c r="J12" i="1"/>
  <c r="M12" i="1" s="1"/>
  <c r="M11" i="1"/>
  <c r="J11" i="1"/>
  <c r="P7" i="1"/>
  <c r="O7" i="1"/>
  <c r="C3" i="3" s="1"/>
  <c r="N7" i="1"/>
  <c r="L7" i="1"/>
  <c r="H7" i="1"/>
  <c r="C7" i="1"/>
  <c r="J6" i="1"/>
  <c r="J5" i="1"/>
  <c r="M5" i="1" s="1"/>
  <c r="J4" i="1"/>
  <c r="M4" i="1" s="1"/>
  <c r="J3" i="1"/>
  <c r="M3" i="1" s="1"/>
  <c r="J2" i="1"/>
  <c r="M2" i="1" s="1"/>
  <c r="N7" i="2" l="1"/>
  <c r="N26" i="2"/>
  <c r="C7" i="3"/>
  <c r="M35" i="2"/>
  <c r="J7" i="1"/>
  <c r="M43" i="2"/>
  <c r="M7" i="2"/>
  <c r="M26" i="2"/>
  <c r="M50" i="2"/>
  <c r="P50" i="2" s="1"/>
  <c r="B8" i="3" s="1"/>
  <c r="M36" i="1"/>
  <c r="M26" i="1"/>
  <c r="M47" i="1"/>
  <c r="M49" i="1" s="1"/>
  <c r="M13" i="1"/>
  <c r="M15" i="1" s="1"/>
  <c r="C4" i="3"/>
  <c r="M6" i="1"/>
  <c r="M7" i="1" s="1"/>
  <c r="M40" i="1"/>
  <c r="M43" i="1" s="1"/>
  <c r="J36" i="1"/>
  <c r="N35" i="2"/>
  <c r="J26" i="1"/>
  <c r="Q49" i="1" l="1"/>
  <c r="D8" i="3"/>
  <c r="O7" i="2"/>
  <c r="P7" i="2" s="1"/>
  <c r="B3" i="3" s="1"/>
  <c r="Q7" i="1"/>
  <c r="D3" i="3"/>
  <c r="Q15" i="1"/>
  <c r="O15" i="2"/>
  <c r="P15" i="2" s="1"/>
  <c r="B4" i="3" s="1"/>
  <c r="D4" i="3"/>
  <c r="Q36" i="1"/>
  <c r="O35" i="2"/>
  <c r="P35" i="2" s="1"/>
  <c r="B6" i="3" s="1"/>
  <c r="D6" i="3"/>
  <c r="D7" i="3"/>
  <c r="Q43" i="1"/>
  <c r="O43" i="2"/>
  <c r="P43" i="2" s="1"/>
  <c r="B7" i="3" s="1"/>
  <c r="Q26" i="1"/>
  <c r="D5" i="3"/>
  <c r="O26" i="2"/>
  <c r="P26" i="2" s="1"/>
  <c r="B5" i="3" s="1"/>
</calcChain>
</file>

<file path=xl/sharedStrings.xml><?xml version="1.0" encoding="utf-8"?>
<sst xmlns="http://schemas.openxmlformats.org/spreadsheetml/2006/main" count="517" uniqueCount="177">
  <si>
    <t>RuteID</t>
  </si>
  <si>
    <t>Rute R1</t>
  </si>
  <si>
    <t>Segment</t>
  </si>
  <si>
    <t>Segmenttype</t>
  </si>
  <si>
    <t>Mode</t>
  </si>
  <si>
    <t>Fra</t>
  </si>
  <si>
    <t>Til</t>
  </si>
  <si>
    <t>Distanse km</t>
  </si>
  <si>
    <t>Gj.snitt Hastighet km/t</t>
  </si>
  <si>
    <t>Transporttid timer</t>
  </si>
  <si>
    <t>Terminaltid timer</t>
  </si>
  <si>
    <t>Ventetid (timer)</t>
  </si>
  <si>
    <t>Segementtid</t>
  </si>
  <si>
    <t>Lovpålagt hviletid (timer)</t>
  </si>
  <si>
    <t>Omlastninger</t>
  </si>
  <si>
    <t>Grenseforsinkelse (timer)</t>
  </si>
  <si>
    <t>Dager reist</t>
  </si>
  <si>
    <t>Headway_t</t>
  </si>
  <si>
    <t>R1</t>
  </si>
  <si>
    <t>Main haul</t>
  </si>
  <si>
    <t>Sjø</t>
  </si>
  <si>
    <t>Karmøy</t>
  </si>
  <si>
    <t>Rostock</t>
  </si>
  <si>
    <t>rail1</t>
  </si>
  <si>
    <t>Bratislava</t>
  </si>
  <si>
    <t>Terminal transfer</t>
  </si>
  <si>
    <t>Truck</t>
  </si>
  <si>
    <t>Terminal</t>
  </si>
  <si>
    <t>terminal</t>
  </si>
  <si>
    <t>rail2</t>
  </si>
  <si>
    <t>Koper</t>
  </si>
  <si>
    <t>Final haul</t>
  </si>
  <si>
    <t>rail3</t>
  </si>
  <si>
    <t>Beograd</t>
  </si>
  <si>
    <t>Totalt</t>
  </si>
  <si>
    <t>Rute R2</t>
  </si>
  <si>
    <t>GJ Hastighet km/t</t>
  </si>
  <si>
    <t>R2</t>
  </si>
  <si>
    <t>Hamburg</t>
  </si>
  <si>
    <t>Rail</t>
  </si>
  <si>
    <t>München</t>
  </si>
  <si>
    <t>Ljubljana</t>
  </si>
  <si>
    <t>Rute R3</t>
  </si>
  <si>
    <t>R3</t>
  </si>
  <si>
    <t>Rotterdam</t>
  </si>
  <si>
    <t>Munchen</t>
  </si>
  <si>
    <t>Rute R4</t>
  </si>
  <si>
    <t>R4</t>
  </si>
  <si>
    <t>Wien</t>
  </si>
  <si>
    <t>Rute R5</t>
  </si>
  <si>
    <t>R5</t>
  </si>
  <si>
    <t>Bar (Montenegro)</t>
  </si>
  <si>
    <t>Rute R6</t>
  </si>
  <si>
    <t>R6</t>
  </si>
  <si>
    <t>faktorer</t>
  </si>
  <si>
    <t>Valuta</t>
  </si>
  <si>
    <t>Direkte Kostnader</t>
  </si>
  <si>
    <t>Terminal kostnader</t>
  </si>
  <si>
    <t>Tidskostnad (VFTTS)</t>
  </si>
  <si>
    <t>Generaliserte kostnader</t>
  </si>
  <si>
    <t>VFTTS (kr/time)</t>
  </si>
  <si>
    <t>Rail kostnad pr tonn-km</t>
  </si>
  <si>
    <t xml:space="preserve">Sjø kostnad pr kilometer - RoRo </t>
  </si>
  <si>
    <t>Vei kostnad pr tonn-km</t>
  </si>
  <si>
    <t>Slovenia</t>
  </si>
  <si>
    <t>Terminal omlastning</t>
  </si>
  <si>
    <t>Simple transfer (Rail→Rail)</t>
  </si>
  <si>
    <t>Complex transfer (Rail→Truck/Sjø)</t>
  </si>
  <si>
    <t>Lastemengde (tonn/trailer)</t>
  </si>
  <si>
    <t xml:space="preserve">Koper </t>
  </si>
  <si>
    <t>Ruter</t>
  </si>
  <si>
    <t>Ledetid timer</t>
  </si>
  <si>
    <t>STOKASTISKE PARAMETERE FOR MONTE CARLO-SIMULERING</t>
  </si>
  <si>
    <t>Endre verdier i gule celler for å justere usikkerhet. Python-skriptet leser direkte herfra.</t>
  </si>
  <si>
    <t>1. Transporttid pr modus — Lognormal fordeling</t>
  </si>
  <si>
    <t>Fordeling</t>
  </si>
  <si>
    <t>CV (σ/μ)</t>
  </si>
  <si>
    <t>Kommentar</t>
  </si>
  <si>
    <t>Kilde</t>
  </si>
  <si>
    <t>lognormal</t>
  </si>
  <si>
    <t>RoRo short-sea Nordsjøen; værforsinkelser</t>
  </si>
  <si>
    <t>Sjø_havgaaende</t>
  </si>
  <si>
    <t>Lengre havreise (R5: Rotterdam-Bar); mer væreksp.</t>
  </si>
  <si>
    <t>Generisk jernbane (R2-R4)</t>
  </si>
  <si>
    <t>Lastebil; mest forutsigbar mode</t>
  </si>
  <si>
    <t>2. Terminaltid pr modus — Triangulær(min, mode, max) i timer</t>
  </si>
  <si>
    <t>Mode/segmenttype</t>
  </si>
  <si>
    <t>Min</t>
  </si>
  <si>
    <t>Mode (= Excel-verdi)</t>
  </si>
  <si>
    <t>Max</t>
  </si>
  <si>
    <t>Havneoperasjon RoRo; lossing+lasting+dokumentkontroll</t>
  </si>
  <si>
    <t>Bransjeestimat (Hanssen et al. 2012 indirekte)</t>
  </si>
  <si>
    <t>Større havgående havn (Bar); litt lengre min</t>
  </si>
  <si>
    <t>Bransjeestimat</t>
  </si>
  <si>
    <t>Intermodal kranoperasjon; kø ved kapasitetspress</t>
  </si>
  <si>
    <t>Wiegmans &amp; Behdani (2018); Mandouri et al. (2023)</t>
  </si>
  <si>
    <t>Direkte levering eller kort terminalstopp</t>
  </si>
  <si>
    <t>Janic (2007)</t>
  </si>
  <si>
    <t>3. Ventetid — Uniform[0, headway] per segment (mean = headway/2)</t>
  </si>
  <si>
    <t>Headway hentes per segment fra kol R i Ruter-arket (empirisk: ERS, Adria Kombi, HUPAC, METRANS, RD/AWB PaP)</t>
  </si>
  <si>
    <t>Headway (=2·Excel-mean) timer</t>
  </si>
  <si>
    <t>Avgangsfrekvens</t>
  </si>
  <si>
    <t>2-3 avg./uke (Sea-Cargo)</t>
  </si>
  <si>
    <t>Sea-Cargo AS (2025)</t>
  </si>
  <si>
    <t>2-3 avg./uke</t>
  </si>
  <si>
    <t>Antakelse</t>
  </si>
  <si>
    <t>7-10 avg./uke</t>
  </si>
  <si>
    <t>METRANS (2024); Adria Kombi (2025)</t>
  </si>
  <si>
    <t>Ingen fast avgang</t>
  </si>
  <si>
    <t>4. Grenseforsinkelse — Triangulær(min, mode, max) i timer per landpar</t>
  </si>
  <si>
    <t>Landpar</t>
  </si>
  <si>
    <t>NO-EU</t>
  </si>
  <si>
    <t>Karmøy export-klarering</t>
  </si>
  <si>
    <t>Antagelse</t>
  </si>
  <si>
    <t>AT-SLO</t>
  </si>
  <si>
    <t>Spielfeld/Jesenice</t>
  </si>
  <si>
    <t>AWB RFC bottleneck</t>
  </si>
  <si>
    <t>SLO-CRO</t>
  </si>
  <si>
    <t>Dobova; PaP 1:37, real 2x</t>
  </si>
  <si>
    <t>AWB RFC PaP TT2027</t>
  </si>
  <si>
    <t>CRO-SRB</t>
  </si>
  <si>
    <t>Šid/Tovarnik EU-grense + lokoskift</t>
  </si>
  <si>
    <t>AWB RFC PaP NP7</t>
  </si>
  <si>
    <t>DE-CZ</t>
  </si>
  <si>
    <t>Bad Schandau/Děčín</t>
  </si>
  <si>
    <t>RD RFC PaP</t>
  </si>
  <si>
    <t>CZ-SK</t>
  </si>
  <si>
    <t>Břeclav</t>
  </si>
  <si>
    <t>SK-AT</t>
  </si>
  <si>
    <t>Marchegg Schengen-internt</t>
  </si>
  <si>
    <t>NL-DE</t>
  </si>
  <si>
    <t>Bad Bentheim Schengen</t>
  </si>
  <si>
    <t>DE-AT</t>
  </si>
  <si>
    <t>Salzburg Schengen</t>
  </si>
  <si>
    <t>MNE-SRB</t>
  </si>
  <si>
    <t>Bar-Beograd ikke-EU</t>
  </si>
  <si>
    <t>6. Monte Carlo-innstillinger</t>
  </si>
  <si>
    <t>Parameter</t>
  </si>
  <si>
    <t>N_simuleringer</t>
  </si>
  <si>
    <t>Antall iterasjoner pr rute. 10k gir stabile P10/P90.</t>
  </si>
  <si>
    <t>Random_seed</t>
  </si>
  <si>
    <t>For reproduserbare resultater. Endre for nye trekkrunder.</t>
  </si>
  <si>
    <t>Inkluder_disrupsjoner</t>
  </si>
  <si>
    <t>1 = ja, 0 = nei. Slå av for å se ren operasjonell variasjon.</t>
  </si>
  <si>
    <t>7. Operasjonell buffer for truck — Triangulær(min, mode, max) i timer</t>
  </si>
  <si>
    <t>Småforsinkelser truck: kø/trafikk, ferging, dokumentkontroll, kortere lossing/lasting-vinduer, sjåførbytte, etc. Pr 1000 km kjøring.</t>
  </si>
  <si>
    <t>Truck_per_1000km</t>
  </si>
  <si>
    <t>Kø, ferge-vent, dok.kontroll, ekstra lossing — IKKE storulykker</t>
  </si>
  <si>
    <t>Bransjeestimat; SINTEF (2017)</t>
  </si>
  <si>
    <t>KOSTNADSPARAMETERE FOR GC-BEREGNING</t>
  </si>
  <si>
    <t>Speiler verdiene i Kostnadsmodeller-arket. Endre i gule celler.</t>
  </si>
  <si>
    <t>Verdi</t>
  </si>
  <si>
    <t>Enhet</t>
  </si>
  <si>
    <t>VFTTS_alfa</t>
  </si>
  <si>
    <t>kr/time</t>
  </si>
  <si>
    <t>Halse et al. (2019); 13.6 kr/tonn-time × 24 tonn</t>
  </si>
  <si>
    <t>Reliability_ratio_RR</t>
  </si>
  <si>
    <t>-</t>
  </si>
  <si>
    <t>Halse et al. (2019); β = RR · α</t>
  </si>
  <si>
    <t>Rail_kostnad_per_tonn_km</t>
  </si>
  <si>
    <t>kr/tonn-km</t>
  </si>
  <si>
    <t>EU RECORDIT (2003)</t>
  </si>
  <si>
    <t>Vei_kostnad_per_tonn_km</t>
  </si>
  <si>
    <t>IRU/Upply Q4 2024</t>
  </si>
  <si>
    <t>Sjø_kostnad_per_km</t>
  </si>
  <si>
    <t>kr/km</t>
  </si>
  <si>
    <t>UNCTAD (2023); RoRo-bransje 5-10 kr/km, midtpunkt</t>
  </si>
  <si>
    <t>Terminal_simple</t>
  </si>
  <si>
    <t>kr/omlasting</t>
  </si>
  <si>
    <t>Wiegmans &amp; Behdani (2018)</t>
  </si>
  <si>
    <t>Terminal_complex</t>
  </si>
  <si>
    <t>Lastemengde_tonn</t>
  </si>
  <si>
    <t>tonn/trailer</t>
  </si>
  <si>
    <t>Hydro (e-post høst 2024)</t>
  </si>
  <si>
    <t>Pålitelighetsledd β · σ(t) i GC:</t>
  </si>
  <si>
    <t xml:space="preserve">  β = RR · α = 0.8 · 330 = 264 kr/time</t>
  </si>
  <si>
    <t xml:space="preserve">  Brukes til å verdsette redusert ledetidsvariabilitet (Andersson et al.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</si>
</sst>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0.0"/>
    <numFmt numFmtId="166" formatCode="_-&quot;kr &quot;* #,##0.00_-;&quot;-kr &quot;* #,##0.00_-;_-&quot;kr &quot;* \-??_-;_-@_-"/>
  </numFmts>
  <fonts count="13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  <charset val="1"/>
    </font>
    <font>
      <b/>
      <sz val="11"/>
      <name val="Calibri"/>
      <family val="2"/>
    </font>
    <font>
      <b/>
      <sz val="11"/>
      <name val="Cambria"/>
      <family val="1"/>
    </font>
    <font>
      <sz val="11"/>
      <name val="Calibri"/>
      <family val="2"/>
    </font>
    <font>
      <sz val="10"/>
      <name val="Arial"/>
      <family val="2"/>
    </font>
    <font>
      <b/>
      <sz val="14"/>
      <color rgb="FF305496"/>
      <name val="Arial"/>
      <family val="2"/>
    </font>
    <font>
      <i/>
      <sz val="9"/>
      <color rgb="FF595959"/>
      <name val="Arial"/>
      <family val="2"/>
    </font>
    <font>
      <b/>
      <sz val="12"/>
      <color rgb="FF305496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15608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theme="9" tint="0.79979857783745845"/>
        <bgColor rgb="FFD9D9D9"/>
      </patternFill>
    </fill>
    <fill>
      <patternFill patternType="solid">
        <fgColor rgb="FFFFD966"/>
        <bgColor rgb="FFF6C6AD"/>
      </patternFill>
    </fill>
    <fill>
      <patternFill patternType="solid">
        <fgColor theme="4" tint="0.59968871120334488"/>
        <bgColor rgb="FF96DCF8"/>
      </patternFill>
    </fill>
    <fill>
      <patternFill patternType="solid">
        <fgColor theme="5" tint="0.59968871120334488"/>
        <bgColor rgb="FFD1D1D1"/>
      </patternFill>
    </fill>
    <fill>
      <patternFill patternType="solid">
        <fgColor theme="2" tint="-0.249977111117893"/>
        <bgColor rgb="FFB4B4B4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51">
    <xf numFmtId="0" fontId="0" fillId="0" borderId="0" xfId="0"/>
    <xf numFmtId="0" fontId="10" fillId="0" borderId="0" xfId="0" applyFont="1"/>
    <xf numFmtId="0" fontId="9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4" fillId="3" borderId="1" xfId="0" applyFont="1" applyFill="1" applyBorder="1"/>
    <xf numFmtId="0" fontId="3" fillId="3" borderId="2" xfId="0" applyFont="1" applyFill="1" applyBorder="1"/>
    <xf numFmtId="0" fontId="5" fillId="0" borderId="0" xfId="0" applyFont="1"/>
    <xf numFmtId="165" fontId="0" fillId="3" borderId="1" xfId="0" applyNumberFormat="1" applyFill="1" applyBorder="1"/>
    <xf numFmtId="0" fontId="0" fillId="3" borderId="3" xfId="0" applyFill="1" applyBorder="1"/>
    <xf numFmtId="0" fontId="0" fillId="3" borderId="2" xfId="0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0" xfId="0" applyFill="1"/>
    <xf numFmtId="165" fontId="0" fillId="5" borderId="2" xfId="0" applyNumberFormat="1" applyFill="1" applyBorder="1"/>
    <xf numFmtId="0" fontId="0" fillId="4" borderId="3" xfId="0" applyFill="1" applyBorder="1"/>
    <xf numFmtId="165" fontId="0" fillId="4" borderId="3" xfId="0" applyNumberFormat="1" applyFill="1" applyBorder="1"/>
    <xf numFmtId="0" fontId="0" fillId="5" borderId="0" xfId="0" applyFill="1"/>
    <xf numFmtId="165" fontId="0" fillId="0" borderId="0" xfId="0" applyNumberFormat="1"/>
    <xf numFmtId="0" fontId="0" fillId="5" borderId="2" xfId="0" applyFill="1" applyBorder="1"/>
    <xf numFmtId="0" fontId="0" fillId="5" borderId="1" xfId="0" applyFill="1" applyBorder="1"/>
    <xf numFmtId="0" fontId="3" fillId="4" borderId="1" xfId="0" applyFont="1" applyFill="1" applyBorder="1"/>
    <xf numFmtId="165" fontId="3" fillId="5" borderId="1" xfId="0" applyNumberFormat="1" applyFont="1" applyFill="1" applyBorder="1"/>
    <xf numFmtId="0" fontId="3" fillId="3" borderId="3" xfId="0" applyFont="1" applyFill="1" applyBorder="1"/>
    <xf numFmtId="0" fontId="0" fillId="6" borderId="0" xfId="0" applyFill="1"/>
    <xf numFmtId="0" fontId="6" fillId="0" borderId="0" xfId="0" applyFont="1"/>
    <xf numFmtId="166" fontId="0" fillId="5" borderId="0" xfId="0" applyNumberFormat="1" applyFill="1"/>
    <xf numFmtId="0" fontId="0" fillId="5" borderId="4" xfId="0" applyFill="1" applyBorder="1"/>
    <xf numFmtId="166" fontId="7" fillId="5" borderId="0" xfId="0" applyNumberFormat="1" applyFont="1" applyFill="1"/>
    <xf numFmtId="166" fontId="0" fillId="0" borderId="0" xfId="0" applyNumberFormat="1"/>
    <xf numFmtId="0" fontId="0" fillId="7" borderId="0" xfId="0" applyFill="1"/>
    <xf numFmtId="1" fontId="0" fillId="0" borderId="0" xfId="0" applyNumberFormat="1"/>
    <xf numFmtId="0" fontId="0" fillId="8" borderId="0" xfId="0" applyFill="1"/>
    <xf numFmtId="0" fontId="0" fillId="9" borderId="0" xfId="0" applyFill="1"/>
    <xf numFmtId="0" fontId="2" fillId="2" borderId="5" xfId="0" applyFont="1" applyFill="1" applyBorder="1" applyAlignment="1">
      <alignment horizontal="center"/>
    </xf>
    <xf numFmtId="0" fontId="0" fillId="0" borderId="5" xfId="0" applyBorder="1"/>
    <xf numFmtId="2" fontId="11" fillId="10" borderId="5" xfId="0" applyNumberFormat="1" applyFont="1" applyFill="1" applyBorder="1"/>
    <xf numFmtId="0" fontId="11" fillId="10" borderId="5" xfId="0" applyFont="1" applyFill="1" applyBorder="1"/>
    <xf numFmtId="0" fontId="5" fillId="2" borderId="5" xfId="0" applyFont="1" applyFill="1" applyBorder="1" applyAlignment="1">
      <alignment horizontal="center"/>
    </xf>
    <xf numFmtId="0" fontId="0" fillId="11" borderId="0" xfId="0" applyFill="1"/>
    <xf numFmtId="164" fontId="1" fillId="0" borderId="0" xfId="1"/>
    <xf numFmtId="0" fontId="0" fillId="12" borderId="0" xfId="0" applyFill="1"/>
    <xf numFmtId="0" fontId="11" fillId="0" borderId="5" xfId="0" applyFont="1" applyBorder="1"/>
    <xf numFmtId="0" fontId="12" fillId="0" borderId="5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1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B4B4"/>
      <rgbColor rgb="FF808080"/>
      <rgbColor rgb="FF83CBEB"/>
      <rgbColor rgb="FF993366"/>
      <rgbColor rgb="FFFFF2CC"/>
      <rgbColor rgb="FFD9D9D9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96DCF8"/>
      <rgbColor rgb="FFFF99CC"/>
      <rgbColor rgb="FFCC99FF"/>
      <rgbColor rgb="FFF6C6AD"/>
      <rgbColor rgb="FF3366FF"/>
      <rgbColor rgb="FF33CCCC"/>
      <rgbColor rgb="FF99CC00"/>
      <rgbColor rgb="FFFFD966"/>
      <rgbColor rgb="FFFF9900"/>
      <rgbColor rgb="FFFF6600"/>
      <rgbColor rgb="FF595959"/>
      <rgbColor rgb="FFAEAEAE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Generaliserte kostnader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D1E-400F-97AB-B16EF738C8BF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D1E-400F-97AB-B16EF738C8BF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D1E-400F-97AB-B16EF738C8BF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D1E-400F-97AB-B16EF738C8B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D1E-400F-97AB-B16EF738C8B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1E-400F-97AB-B16EF738C8B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1E-400F-97AB-B16EF738C8B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1E-400F-97AB-B16EF738C8B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1E-400F-97AB-B16EF738C8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Charts!$B$3:$B$8</c:f>
              <c:numCache>
                <c:formatCode>_-"kr "* #\ ##0.00_-;"-kr "* #\ ##0.00_-;_-"kr "* \-??_-;_-@_-</c:formatCode>
                <c:ptCount val="6"/>
                <c:pt idx="0">
                  <c:v>96923.357142857159</c:v>
                </c:pt>
                <c:pt idx="1">
                  <c:v>85751.500000000015</c:v>
                </c:pt>
                <c:pt idx="2">
                  <c:v>98574.21428571429</c:v>
                </c:pt>
                <c:pt idx="3">
                  <c:v>91974.21428571429</c:v>
                </c:pt>
                <c:pt idx="4">
                  <c:v>149028.71428571426</c:v>
                </c:pt>
                <c:pt idx="5" formatCode="_-&quot;$&quot;\ * #\ ##0.00_-;\-&quot;$&quot;\ * #\ ##0.00_-;_-&quot;$&quot;\ * &quot;-&quot;??_-;_-@_-">
                  <c:v>88388.112903225803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1E-400F-97AB-B16EF738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84986"/>
        <c:axId val="54185664"/>
      </c:barChart>
      <c:catAx>
        <c:axId val="736849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54185664"/>
        <c:crosses val="autoZero"/>
        <c:auto val="1"/>
        <c:lblAlgn val="ctr"/>
        <c:lblOffset val="100"/>
        <c:noMultiLvlLbl val="0"/>
      </c:catAx>
      <c:valAx>
        <c:axId val="541856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&quot;kr&quot;* #,##0.00_);_(&quot;kr&quot;* \(#,##0.00\);_(&quot;kr&quot;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3684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5.5342733719129497E-2"/>
          <c:y val="0.26468675482332499"/>
          <c:w val="0.89583503137990095"/>
          <c:h val="0.53956210708866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Omlastninger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6DCF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F18-4610-931B-DDFE7239E454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18-4610-931B-DDFE7239E454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18-4610-931B-DDFE7239E454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18-4610-931B-DDFE7239E4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F18-4610-931B-DDFE7239E4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18-4610-931B-DDFE7239E4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18-4610-931B-DDFE7239E45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18-4610-931B-DDFE7239E45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18-4610-931B-DDFE7239E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Charts!$C$3:$C$8</c:f>
              <c:numCache>
                <c:formatCode>0.0</c:formatCode>
                <c:ptCount val="6"/>
                <c:pt idx="0">
                  <c:v>3</c:v>
                </c:pt>
                <c:pt idx="1">
                  <c:v>2</c:v>
                </c:pt>
                <c:pt idx="2" formatCode="General">
                  <c:v>2</c:v>
                </c:pt>
                <c:pt idx="3" formatCode="General">
                  <c:v>2</c:v>
                </c:pt>
                <c:pt idx="4" formatCode="General">
                  <c:v>2</c:v>
                </c:pt>
                <c:pt idx="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18-4610-931B-DDFE7239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65702"/>
        <c:axId val="69795104"/>
      </c:barChart>
      <c:catAx>
        <c:axId val="71265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69795104"/>
        <c:crosses val="autoZero"/>
        <c:auto val="1"/>
        <c:lblAlgn val="ctr"/>
        <c:lblOffset val="100"/>
        <c:noMultiLvlLbl val="0"/>
      </c:catAx>
      <c:valAx>
        <c:axId val="697951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1265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Charts!$D$2</c:f>
              <c:strCache>
                <c:ptCount val="1"/>
                <c:pt idx="0">
                  <c:v>Ledetid timer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3CB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7DC-4C1C-BD24-0A43642385D5}"/>
              </c:ext>
            </c:extLst>
          </c:dPt>
          <c:dPt>
            <c:idx val="1"/>
            <c:invertIfNegative val="0"/>
            <c:bubble3D val="0"/>
            <c:spPr>
              <a:solidFill>
                <a:srgbClr val="F6C6A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7DC-4C1C-BD24-0A43642385D5}"/>
              </c:ext>
            </c:extLst>
          </c:dPt>
          <c:dPt>
            <c:idx val="2"/>
            <c:invertIfNegative val="0"/>
            <c:bubble3D val="0"/>
            <c:spPr>
              <a:solidFill>
                <a:srgbClr val="B4E5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7DC-4C1C-BD24-0A43642385D5}"/>
              </c:ext>
            </c:extLst>
          </c:dPt>
          <c:dPt>
            <c:idx val="3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7DC-4C1C-BD24-0A43642385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7DC-4C1C-BD24-0A43642385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C-4C1C-BD24-0A43642385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C-4C1C-BD24-0A43642385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C-4C1C-BD24-0A43642385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nb-N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C-4C1C-BD24-0A4364238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nb-N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Charts!$A$3:$A$8</c:f>
              <c:strCache>
                <c:ptCount val="6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</c:strCache>
            </c:strRef>
          </c:cat>
          <c:val>
            <c:numRef>
              <c:f>Charts!$D$3:$D$8</c:f>
              <c:numCache>
                <c:formatCode>0</c:formatCode>
                <c:ptCount val="6"/>
                <c:pt idx="0">
                  <c:v>182.34047619047621</c:v>
                </c:pt>
                <c:pt idx="1">
                  <c:v>172.65000000000003</c:v>
                </c:pt>
                <c:pt idx="2" formatCode="General">
                  <c:v>209.53095238095239</c:v>
                </c:pt>
                <c:pt idx="3" formatCode="General">
                  <c:v>177.53095238095239</c:v>
                </c:pt>
                <c:pt idx="4" formatCode="General">
                  <c:v>292.36883116883115</c:v>
                </c:pt>
                <c:pt idx="5" formatCode="General">
                  <c:v>141.21428571428572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DC-4C1C-BD24-0A4364238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45158"/>
        <c:axId val="53150901"/>
      </c:barChart>
      <c:catAx>
        <c:axId val="724451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53150901"/>
        <c:crosses val="autoZero"/>
        <c:auto val="1"/>
        <c:lblAlgn val="ctr"/>
        <c:lblOffset val="100"/>
        <c:noMultiLvlLbl val="0"/>
      </c:catAx>
      <c:valAx>
        <c:axId val="531509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nb-NO"/>
          </a:p>
        </c:txPr>
        <c:crossAx val="72445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61920</xdr:colOff>
      <xdr:row>0</xdr:row>
      <xdr:rowOff>57240</xdr:rowOff>
    </xdr:from>
    <xdr:to>
      <xdr:col>10</xdr:col>
      <xdr:colOff>527040</xdr:colOff>
      <xdr:row>11</xdr:row>
      <xdr:rowOff>84240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376200</xdr:colOff>
      <xdr:row>21</xdr:row>
      <xdr:rowOff>133200</xdr:rowOff>
    </xdr:from>
    <xdr:to>
      <xdr:col>11</xdr:col>
      <xdr:colOff>243360</xdr:colOff>
      <xdr:row>30</xdr:row>
      <xdr:rowOff>164880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397800</xdr:colOff>
      <xdr:row>11</xdr:row>
      <xdr:rowOff>90360</xdr:rowOff>
    </xdr:from>
    <xdr:to>
      <xdr:col>11</xdr:col>
      <xdr:colOff>169920</xdr:colOff>
      <xdr:row>21</xdr:row>
      <xdr:rowOff>117360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zoomScaleNormal="100" workbookViewId="0">
      <selection activeCell="W9" sqref="W9"/>
    </sheetView>
  </sheetViews>
  <sheetFormatPr defaultColWidth="8.46484375" defaultRowHeight="14.25" x14ac:dyDescent="0.45"/>
  <cols>
    <col min="1" max="1" width="9" customWidth="1"/>
    <col min="2" max="2" width="10.3984375" customWidth="1"/>
    <col min="3" max="4" width="19.86328125" customWidth="1"/>
    <col min="5" max="5" width="14.46484375" customWidth="1"/>
    <col min="6" max="6" width="10.3984375" customWidth="1"/>
    <col min="7" max="7" width="18.46484375" customWidth="1"/>
    <col min="8" max="8" width="19.3984375" customWidth="1"/>
    <col min="9" max="9" width="16" customWidth="1"/>
    <col min="10" max="10" width="15.3984375" customWidth="1"/>
    <col min="11" max="11" width="21" customWidth="1"/>
    <col min="12" max="12" width="11.86328125" customWidth="1"/>
    <col min="13" max="13" width="11.73046875" customWidth="1"/>
    <col min="14" max="14" width="11.86328125" customWidth="1"/>
  </cols>
  <sheetData>
    <row r="1" spans="1:18" ht="14.25" customHeight="1" x14ac:dyDescent="0.4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8" t="s">
        <v>15</v>
      </c>
      <c r="Q1" s="9" t="s">
        <v>16</v>
      </c>
      <c r="R1" s="10" t="s">
        <v>17</v>
      </c>
    </row>
    <row r="2" spans="1:18" ht="14.25" customHeight="1" x14ac:dyDescent="0.45">
      <c r="A2" t="s">
        <v>18</v>
      </c>
      <c r="B2" s="6"/>
      <c r="C2" s="6">
        <v>1</v>
      </c>
      <c r="D2" s="6" t="s">
        <v>19</v>
      </c>
      <c r="E2" s="6" t="s">
        <v>20</v>
      </c>
      <c r="F2" s="6" t="s">
        <v>21</v>
      </c>
      <c r="G2" s="6" t="s">
        <v>22</v>
      </c>
      <c r="H2" s="6">
        <v>913</v>
      </c>
      <c r="I2" s="6">
        <v>28</v>
      </c>
      <c r="J2" s="11">
        <f>H2/I2</f>
        <v>32.607142857142854</v>
      </c>
      <c r="K2" s="6">
        <v>12</v>
      </c>
      <c r="L2" s="6">
        <v>34</v>
      </c>
      <c r="M2" s="11">
        <f>J2+K2+L2+N2+P2</f>
        <v>79.107142857142861</v>
      </c>
      <c r="N2" s="12">
        <v>0</v>
      </c>
      <c r="O2" s="6">
        <v>1</v>
      </c>
      <c r="P2" s="6">
        <v>0.5</v>
      </c>
      <c r="Q2" s="13"/>
      <c r="R2">
        <v>68</v>
      </c>
    </row>
    <row r="3" spans="1:18" ht="14.25" customHeight="1" x14ac:dyDescent="0.45">
      <c r="A3" t="s">
        <v>18</v>
      </c>
      <c r="B3" s="6"/>
      <c r="C3" s="6">
        <v>2</v>
      </c>
      <c r="D3" s="6" t="s">
        <v>19</v>
      </c>
      <c r="E3" s="6" t="s">
        <v>23</v>
      </c>
      <c r="F3" s="6" t="s">
        <v>22</v>
      </c>
      <c r="G3" s="6" t="s">
        <v>24</v>
      </c>
      <c r="H3" s="6">
        <v>1200</v>
      </c>
      <c r="I3" s="6">
        <v>60</v>
      </c>
      <c r="J3" s="11">
        <f>H3/I3</f>
        <v>20</v>
      </c>
      <c r="K3" s="6">
        <v>6</v>
      </c>
      <c r="L3" s="6">
        <v>12</v>
      </c>
      <c r="M3" s="11">
        <f>J3+K3+L3+N3+P3</f>
        <v>40</v>
      </c>
      <c r="N3" s="7">
        <v>0</v>
      </c>
      <c r="O3" s="6">
        <v>0</v>
      </c>
      <c r="P3" s="6">
        <v>2</v>
      </c>
      <c r="Q3" s="13"/>
      <c r="R3">
        <v>24</v>
      </c>
    </row>
    <row r="4" spans="1:18" ht="14.25" customHeight="1" x14ac:dyDescent="0.45">
      <c r="A4" t="s">
        <v>18</v>
      </c>
      <c r="B4" s="6"/>
      <c r="C4" s="6">
        <v>3</v>
      </c>
      <c r="D4" s="6" t="s">
        <v>25</v>
      </c>
      <c r="E4" s="6" t="s">
        <v>26</v>
      </c>
      <c r="F4" s="6" t="s">
        <v>27</v>
      </c>
      <c r="G4" s="6" t="s">
        <v>28</v>
      </c>
      <c r="H4" s="6">
        <v>20</v>
      </c>
      <c r="I4" s="6">
        <v>60</v>
      </c>
      <c r="J4" s="11">
        <f>H4/I4</f>
        <v>0.33333333333333331</v>
      </c>
      <c r="K4" s="6">
        <v>4</v>
      </c>
      <c r="L4" s="6">
        <v>0</v>
      </c>
      <c r="M4" s="11">
        <f>J4+K4+L4+N4+P4</f>
        <v>4.333333333333333</v>
      </c>
      <c r="N4" s="7">
        <v>0</v>
      </c>
      <c r="O4" s="6">
        <v>1</v>
      </c>
      <c r="P4" s="6">
        <v>0</v>
      </c>
      <c r="Q4" s="13"/>
      <c r="R4">
        <v>0</v>
      </c>
    </row>
    <row r="5" spans="1:18" ht="14.25" customHeight="1" x14ac:dyDescent="0.45">
      <c r="A5" t="s">
        <v>18</v>
      </c>
      <c r="B5" s="6"/>
      <c r="C5" s="6">
        <v>4</v>
      </c>
      <c r="D5" s="6" t="s">
        <v>19</v>
      </c>
      <c r="E5" s="6" t="s">
        <v>29</v>
      </c>
      <c r="F5" s="6" t="s">
        <v>24</v>
      </c>
      <c r="G5" s="6" t="s">
        <v>30</v>
      </c>
      <c r="H5" s="6">
        <v>450</v>
      </c>
      <c r="I5" s="6">
        <v>60</v>
      </c>
      <c r="J5" s="11">
        <f>H5/I5</f>
        <v>7.5</v>
      </c>
      <c r="K5" s="6">
        <v>6</v>
      </c>
      <c r="L5" s="6">
        <v>12</v>
      </c>
      <c r="M5" s="11">
        <f>J5+K5+L5+N5+P5</f>
        <v>27</v>
      </c>
      <c r="N5" s="7">
        <v>0</v>
      </c>
      <c r="O5" s="6">
        <v>0</v>
      </c>
      <c r="P5" s="6">
        <v>1.5</v>
      </c>
      <c r="Q5" s="13"/>
      <c r="R5">
        <v>24</v>
      </c>
    </row>
    <row r="6" spans="1:18" ht="14.25" customHeight="1" x14ac:dyDescent="0.45">
      <c r="A6" t="s">
        <v>18</v>
      </c>
      <c r="B6" s="6"/>
      <c r="C6" s="6">
        <v>5</v>
      </c>
      <c r="D6" s="6" t="s">
        <v>31</v>
      </c>
      <c r="E6" s="6" t="s">
        <v>32</v>
      </c>
      <c r="F6" s="6" t="s">
        <v>30</v>
      </c>
      <c r="G6" s="6" t="s">
        <v>33</v>
      </c>
      <c r="H6" s="6">
        <v>600</v>
      </c>
      <c r="I6" s="6">
        <v>60</v>
      </c>
      <c r="J6" s="11">
        <f>H6/I6</f>
        <v>10</v>
      </c>
      <c r="K6" s="6">
        <v>4</v>
      </c>
      <c r="L6" s="6">
        <v>12</v>
      </c>
      <c r="M6" s="11">
        <f>J6+K6+L6+N6+P6</f>
        <v>31.9</v>
      </c>
      <c r="N6" s="7">
        <v>0</v>
      </c>
      <c r="O6" s="6">
        <v>1</v>
      </c>
      <c r="P6" s="6">
        <v>5.9</v>
      </c>
      <c r="Q6" s="13"/>
      <c r="R6">
        <v>24</v>
      </c>
    </row>
    <row r="7" spans="1:18" ht="14.25" customHeight="1" x14ac:dyDescent="0.45">
      <c r="B7" s="14" t="s">
        <v>34</v>
      </c>
      <c r="C7" s="14">
        <f>COUNT(C2:C6)</f>
        <v>5</v>
      </c>
      <c r="D7" s="14"/>
      <c r="E7" s="14"/>
      <c r="F7" s="14"/>
      <c r="G7" s="14"/>
      <c r="H7" s="14">
        <f>SUM(H2:H6)</f>
        <v>3183</v>
      </c>
      <c r="I7" s="14"/>
      <c r="J7" s="15">
        <f t="shared" ref="J7:P7" si="0">SUM(J2:J6)</f>
        <v>70.44047619047619</v>
      </c>
      <c r="K7" s="14">
        <f>SUM(K2:K6)</f>
        <v>32</v>
      </c>
      <c r="L7" s="14">
        <f t="shared" si="0"/>
        <v>70</v>
      </c>
      <c r="M7" s="15">
        <f t="shared" si="0"/>
        <v>182.34047619047621</v>
      </c>
      <c r="N7" s="16">
        <f t="shared" si="0"/>
        <v>0</v>
      </c>
      <c r="O7" s="14">
        <f t="shared" si="0"/>
        <v>3</v>
      </c>
      <c r="P7" s="14">
        <f t="shared" si="0"/>
        <v>9.9</v>
      </c>
      <c r="Q7" s="17">
        <f>M7/24</f>
        <v>7.5975198412698424</v>
      </c>
    </row>
    <row r="10" spans="1:18" ht="14.25" customHeight="1" x14ac:dyDescent="0.45">
      <c r="B10" s="5" t="s">
        <v>35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36</v>
      </c>
      <c r="J10" s="5" t="s">
        <v>9</v>
      </c>
      <c r="K10" s="5" t="s">
        <v>10</v>
      </c>
      <c r="L10" s="5" t="s">
        <v>11</v>
      </c>
      <c r="M10" s="5" t="s">
        <v>12</v>
      </c>
      <c r="N10" s="7" t="s">
        <v>13</v>
      </c>
      <c r="O10" s="5" t="s">
        <v>14</v>
      </c>
      <c r="P10" s="8" t="s">
        <v>15</v>
      </c>
      <c r="Q10" s="9" t="s">
        <v>16</v>
      </c>
    </row>
    <row r="11" spans="1:18" ht="14.25" customHeight="1" x14ac:dyDescent="0.45">
      <c r="A11" t="s">
        <v>37</v>
      </c>
      <c r="B11" s="6"/>
      <c r="C11" s="6">
        <v>1</v>
      </c>
      <c r="D11" s="6" t="s">
        <v>19</v>
      </c>
      <c r="E11" s="6" t="s">
        <v>20</v>
      </c>
      <c r="F11" s="6" t="s">
        <v>21</v>
      </c>
      <c r="G11" s="6" t="s">
        <v>38</v>
      </c>
      <c r="H11" s="6">
        <v>791</v>
      </c>
      <c r="I11" s="6">
        <v>28</v>
      </c>
      <c r="J11" s="11">
        <f>H11/I11</f>
        <v>28.25</v>
      </c>
      <c r="K11" s="6">
        <v>12</v>
      </c>
      <c r="L11" s="6">
        <v>34</v>
      </c>
      <c r="M11" s="11">
        <f>J11+K11+L11+N11+P11</f>
        <v>74.75</v>
      </c>
      <c r="N11" s="7">
        <v>0</v>
      </c>
      <c r="O11" s="6">
        <v>1</v>
      </c>
      <c r="P11" s="6">
        <v>0.5</v>
      </c>
      <c r="Q11" s="13"/>
      <c r="R11">
        <v>68</v>
      </c>
    </row>
    <row r="12" spans="1:18" ht="14.25" customHeight="1" x14ac:dyDescent="0.45">
      <c r="A12" t="s">
        <v>37</v>
      </c>
      <c r="B12" s="6"/>
      <c r="C12" s="6">
        <v>2</v>
      </c>
      <c r="D12" s="6" t="s">
        <v>19</v>
      </c>
      <c r="E12" s="6" t="s">
        <v>39</v>
      </c>
      <c r="F12" s="6" t="s">
        <v>38</v>
      </c>
      <c r="G12" s="6" t="s">
        <v>40</v>
      </c>
      <c r="H12" s="6">
        <v>840</v>
      </c>
      <c r="I12" s="6">
        <v>60</v>
      </c>
      <c r="J12" s="11">
        <f>H12/I12</f>
        <v>14</v>
      </c>
      <c r="K12" s="6">
        <v>6</v>
      </c>
      <c r="L12" s="6">
        <v>8.5</v>
      </c>
      <c r="M12" s="11">
        <f>J12+K12+L12+N12+P12</f>
        <v>28.5</v>
      </c>
      <c r="N12" s="7">
        <v>0</v>
      </c>
      <c r="O12" s="6">
        <v>0</v>
      </c>
      <c r="P12" s="6">
        <v>0</v>
      </c>
      <c r="Q12" s="13"/>
      <c r="R12">
        <v>17</v>
      </c>
    </row>
    <row r="13" spans="1:18" ht="14.25" customHeight="1" x14ac:dyDescent="0.45">
      <c r="A13" t="s">
        <v>37</v>
      </c>
      <c r="B13" s="6"/>
      <c r="C13" s="6">
        <v>3</v>
      </c>
      <c r="D13" s="6" t="s">
        <v>19</v>
      </c>
      <c r="E13" s="6" t="s">
        <v>39</v>
      </c>
      <c r="F13" s="6" t="s">
        <v>40</v>
      </c>
      <c r="G13" s="6" t="s">
        <v>41</v>
      </c>
      <c r="H13" s="6">
        <v>400</v>
      </c>
      <c r="I13" s="6">
        <v>60</v>
      </c>
      <c r="J13" s="11">
        <f>H13/I13</f>
        <v>6.666666666666667</v>
      </c>
      <c r="K13" s="6">
        <v>6</v>
      </c>
      <c r="L13" s="6">
        <v>24</v>
      </c>
      <c r="M13" s="11">
        <f>J13+K13+L13+N13+P13</f>
        <v>38.666666666666671</v>
      </c>
      <c r="N13" s="7">
        <v>0</v>
      </c>
      <c r="O13" s="6">
        <v>0</v>
      </c>
      <c r="P13" s="6">
        <v>2</v>
      </c>
      <c r="Q13" s="13"/>
      <c r="R13">
        <v>48</v>
      </c>
    </row>
    <row r="14" spans="1:18" ht="14.25" customHeight="1" x14ac:dyDescent="0.45">
      <c r="A14" t="s">
        <v>37</v>
      </c>
      <c r="B14" s="6"/>
      <c r="C14" s="6">
        <v>4</v>
      </c>
      <c r="D14" s="6" t="s">
        <v>31</v>
      </c>
      <c r="E14" s="6" t="s">
        <v>39</v>
      </c>
      <c r="F14" s="6" t="s">
        <v>41</v>
      </c>
      <c r="G14" s="6" t="s">
        <v>33</v>
      </c>
      <c r="H14" s="6">
        <v>530</v>
      </c>
      <c r="I14" s="6">
        <v>60</v>
      </c>
      <c r="J14" s="11">
        <f>H14/I14</f>
        <v>8.8333333333333339</v>
      </c>
      <c r="K14" s="6">
        <v>4</v>
      </c>
      <c r="L14" s="6">
        <v>12</v>
      </c>
      <c r="M14" s="11">
        <f>J14+K14+L14+N14+P14</f>
        <v>30.733333333333334</v>
      </c>
      <c r="N14" s="7">
        <v>0</v>
      </c>
      <c r="O14" s="6">
        <v>1</v>
      </c>
      <c r="P14" s="6">
        <v>5.9</v>
      </c>
      <c r="Q14" s="13"/>
      <c r="R14">
        <v>24</v>
      </c>
    </row>
    <row r="15" spans="1:18" ht="14.25" customHeight="1" x14ac:dyDescent="0.45">
      <c r="B15" s="18" t="s">
        <v>34</v>
      </c>
      <c r="C15" s="18">
        <f>COUNT(C11:C14)</f>
        <v>4</v>
      </c>
      <c r="D15" s="18"/>
      <c r="E15" s="18"/>
      <c r="F15" s="18"/>
      <c r="G15" s="18"/>
      <c r="H15" s="18">
        <f>SUM(H11:H14)</f>
        <v>2561</v>
      </c>
      <c r="I15" s="18"/>
      <c r="J15" s="19">
        <f t="shared" ref="J15:P15" si="1">SUM(J11:J14)</f>
        <v>57.75</v>
      </c>
      <c r="K15" s="18">
        <f t="shared" si="1"/>
        <v>28</v>
      </c>
      <c r="L15" s="18">
        <f t="shared" si="1"/>
        <v>78.5</v>
      </c>
      <c r="M15" s="19">
        <f t="shared" si="1"/>
        <v>172.65000000000003</v>
      </c>
      <c r="N15" s="16">
        <f t="shared" si="1"/>
        <v>0</v>
      </c>
      <c r="O15" s="18">
        <f t="shared" si="1"/>
        <v>2</v>
      </c>
      <c r="P15" s="16">
        <f t="shared" si="1"/>
        <v>8.4</v>
      </c>
      <c r="Q15" s="20">
        <f>M15/24</f>
        <v>7.1937500000000014</v>
      </c>
    </row>
    <row r="16" spans="1:18" ht="14.25" customHeight="1" x14ac:dyDescent="0.45">
      <c r="J16" s="21"/>
      <c r="M16" s="21"/>
    </row>
    <row r="17" spans="1:18" ht="14.25" customHeight="1" x14ac:dyDescent="0.45">
      <c r="J17" s="21"/>
      <c r="M17" s="21"/>
    </row>
    <row r="18" spans="1:18" ht="14.25" customHeight="1" x14ac:dyDescent="0.45">
      <c r="J18" s="21"/>
      <c r="M18" s="21"/>
    </row>
    <row r="21" spans="1:18" ht="14.25" customHeight="1" x14ac:dyDescent="0.45">
      <c r="B21" s="5" t="s">
        <v>42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36</v>
      </c>
      <c r="J21" s="5" t="s">
        <v>9</v>
      </c>
      <c r="K21" s="5" t="s">
        <v>10</v>
      </c>
      <c r="L21" s="5" t="s">
        <v>11</v>
      </c>
      <c r="M21" s="5" t="s">
        <v>12</v>
      </c>
      <c r="N21" s="7" t="s">
        <v>13</v>
      </c>
      <c r="O21" s="5" t="s">
        <v>14</v>
      </c>
      <c r="P21" s="8" t="s">
        <v>15</v>
      </c>
      <c r="Q21" s="9" t="s">
        <v>16</v>
      </c>
    </row>
    <row r="22" spans="1:18" ht="14.25" customHeight="1" x14ac:dyDescent="0.45">
      <c r="A22" t="s">
        <v>43</v>
      </c>
      <c r="B22" s="6"/>
      <c r="C22" s="6">
        <v>1</v>
      </c>
      <c r="D22" s="6"/>
      <c r="E22" s="6" t="s">
        <v>20</v>
      </c>
      <c r="F22" s="6" t="s">
        <v>21</v>
      </c>
      <c r="G22" s="6" t="s">
        <v>44</v>
      </c>
      <c r="H22" s="6">
        <v>867</v>
      </c>
      <c r="I22" s="6">
        <v>28</v>
      </c>
      <c r="J22" s="6">
        <f>H22/I22</f>
        <v>30.964285714285715</v>
      </c>
      <c r="K22" s="6">
        <v>12</v>
      </c>
      <c r="L22" s="6">
        <v>34</v>
      </c>
      <c r="M22" s="6">
        <f>J22+K22+L22+N22+P22</f>
        <v>77.464285714285722</v>
      </c>
      <c r="N22" s="7">
        <v>0</v>
      </c>
      <c r="O22" s="6">
        <v>1</v>
      </c>
      <c r="P22" s="6">
        <v>0.5</v>
      </c>
      <c r="Q22" s="13"/>
      <c r="R22">
        <v>68</v>
      </c>
    </row>
    <row r="23" spans="1:18" ht="14.25" customHeight="1" x14ac:dyDescent="0.45">
      <c r="A23" t="s">
        <v>43</v>
      </c>
      <c r="B23" s="6"/>
      <c r="C23" s="6">
        <v>2</v>
      </c>
      <c r="D23" s="6"/>
      <c r="E23" s="6" t="s">
        <v>39</v>
      </c>
      <c r="F23" s="6" t="s">
        <v>44</v>
      </c>
      <c r="G23" s="6" t="s">
        <v>45</v>
      </c>
      <c r="H23" s="6">
        <v>850</v>
      </c>
      <c r="I23" s="6">
        <v>60</v>
      </c>
      <c r="J23" s="6">
        <f>H23/I23</f>
        <v>14.166666666666666</v>
      </c>
      <c r="K23" s="6">
        <v>6</v>
      </c>
      <c r="L23" s="6">
        <v>42</v>
      </c>
      <c r="M23" s="6">
        <f>J23+K23+L23+N23+P23</f>
        <v>62.666666666666664</v>
      </c>
      <c r="N23" s="7">
        <v>0</v>
      </c>
      <c r="O23" s="6">
        <v>0</v>
      </c>
      <c r="P23" s="6">
        <v>0.5</v>
      </c>
      <c r="Q23" s="13"/>
      <c r="R23">
        <v>84</v>
      </c>
    </row>
    <row r="24" spans="1:18" ht="14.25" customHeight="1" x14ac:dyDescent="0.45">
      <c r="A24" t="s">
        <v>43</v>
      </c>
      <c r="B24" s="6"/>
      <c r="C24" s="6">
        <v>3</v>
      </c>
      <c r="D24" s="6"/>
      <c r="E24" s="6" t="s">
        <v>39</v>
      </c>
      <c r="F24" s="6" t="s">
        <v>45</v>
      </c>
      <c r="G24" s="6" t="s">
        <v>41</v>
      </c>
      <c r="H24" s="6">
        <v>400</v>
      </c>
      <c r="I24" s="6">
        <v>60</v>
      </c>
      <c r="J24" s="6">
        <f>H24/I24</f>
        <v>6.666666666666667</v>
      </c>
      <c r="K24" s="6">
        <v>6</v>
      </c>
      <c r="L24" s="6">
        <v>24</v>
      </c>
      <c r="M24" s="6">
        <f>J24+K24+L24+N24+P24</f>
        <v>38.666666666666671</v>
      </c>
      <c r="N24" s="7">
        <v>0</v>
      </c>
      <c r="O24" s="6">
        <v>0</v>
      </c>
      <c r="P24" s="6">
        <v>2</v>
      </c>
      <c r="Q24" s="13"/>
      <c r="R24">
        <v>48</v>
      </c>
    </row>
    <row r="25" spans="1:18" ht="14.25" customHeight="1" x14ac:dyDescent="0.45">
      <c r="A25" t="s">
        <v>43</v>
      </c>
      <c r="B25" s="6"/>
      <c r="C25" s="6">
        <v>4</v>
      </c>
      <c r="D25" s="6"/>
      <c r="E25" s="6" t="s">
        <v>39</v>
      </c>
      <c r="F25" s="6" t="s">
        <v>41</v>
      </c>
      <c r="G25" s="6" t="s">
        <v>33</v>
      </c>
      <c r="H25" s="6">
        <v>530</v>
      </c>
      <c r="I25" s="6">
        <v>60</v>
      </c>
      <c r="J25" s="6">
        <f>H25/I25</f>
        <v>8.8333333333333339</v>
      </c>
      <c r="K25" s="6">
        <v>4</v>
      </c>
      <c r="L25" s="6">
        <v>12</v>
      </c>
      <c r="M25" s="6">
        <f>J25+K25+L25+N25+P25</f>
        <v>30.733333333333334</v>
      </c>
      <c r="N25" s="7">
        <v>0</v>
      </c>
      <c r="O25" s="6">
        <v>1</v>
      </c>
      <c r="P25" s="6">
        <v>5.9</v>
      </c>
      <c r="Q25" s="13"/>
      <c r="R25">
        <v>24</v>
      </c>
    </row>
    <row r="26" spans="1:18" ht="14.25" customHeight="1" x14ac:dyDescent="0.45">
      <c r="B26" s="14" t="s">
        <v>34</v>
      </c>
      <c r="C26" s="14"/>
      <c r="D26" s="14"/>
      <c r="E26" s="14"/>
      <c r="F26" s="14"/>
      <c r="G26" s="14"/>
      <c r="H26" s="14">
        <f>SUM(H22:H25)</f>
        <v>2647</v>
      </c>
      <c r="I26" s="14"/>
      <c r="J26" s="14">
        <f t="shared" ref="J26:P26" si="2">SUM(J22:J25)</f>
        <v>60.63095238095238</v>
      </c>
      <c r="K26" s="14">
        <f t="shared" si="2"/>
        <v>28</v>
      </c>
      <c r="L26" s="14">
        <f t="shared" si="2"/>
        <v>112</v>
      </c>
      <c r="M26" s="14">
        <f t="shared" si="2"/>
        <v>209.53095238095239</v>
      </c>
      <c r="N26" s="16">
        <f t="shared" si="2"/>
        <v>0</v>
      </c>
      <c r="O26" s="14">
        <f t="shared" si="2"/>
        <v>2</v>
      </c>
      <c r="P26" s="14">
        <f t="shared" si="2"/>
        <v>8.9</v>
      </c>
      <c r="Q26" s="22">
        <f>M26/24</f>
        <v>8.7304563492063494</v>
      </c>
    </row>
    <row r="31" spans="1:18" ht="14.25" customHeight="1" x14ac:dyDescent="0.45">
      <c r="B31" s="6" t="s">
        <v>46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36</v>
      </c>
      <c r="J31" s="5" t="s">
        <v>9</v>
      </c>
      <c r="K31" s="5" t="s">
        <v>10</v>
      </c>
      <c r="L31" s="5" t="s">
        <v>11</v>
      </c>
      <c r="M31" s="5" t="s">
        <v>12</v>
      </c>
      <c r="N31" s="7" t="s">
        <v>13</v>
      </c>
      <c r="O31" s="5" t="s">
        <v>14</v>
      </c>
      <c r="P31" s="8" t="s">
        <v>15</v>
      </c>
      <c r="Q31" s="9" t="s">
        <v>16</v>
      </c>
    </row>
    <row r="32" spans="1:18" ht="14.25" customHeight="1" x14ac:dyDescent="0.45">
      <c r="A32" t="s">
        <v>47</v>
      </c>
      <c r="B32" s="6"/>
      <c r="C32" s="6">
        <v>1</v>
      </c>
      <c r="D32" s="6"/>
      <c r="E32" s="6" t="s">
        <v>20</v>
      </c>
      <c r="F32" s="6" t="s">
        <v>21</v>
      </c>
      <c r="G32" s="6" t="s">
        <v>44</v>
      </c>
      <c r="H32" s="6">
        <v>867</v>
      </c>
      <c r="I32" s="6">
        <v>28</v>
      </c>
      <c r="J32" s="6">
        <f>H32/I32</f>
        <v>30.964285714285715</v>
      </c>
      <c r="K32" s="6">
        <v>12</v>
      </c>
      <c r="L32" s="6">
        <v>34</v>
      </c>
      <c r="M32" s="6">
        <f>J32+K32+L32+N32+P32</f>
        <v>77.464285714285722</v>
      </c>
      <c r="N32" s="7">
        <v>0</v>
      </c>
      <c r="O32" s="6">
        <v>1</v>
      </c>
      <c r="P32" s="6">
        <v>0.5</v>
      </c>
      <c r="Q32" s="13"/>
      <c r="R32">
        <v>68</v>
      </c>
    </row>
    <row r="33" spans="1:18" ht="14.25" customHeight="1" x14ac:dyDescent="0.45">
      <c r="A33" t="s">
        <v>47</v>
      </c>
      <c r="B33" s="6"/>
      <c r="C33" s="6">
        <v>2</v>
      </c>
      <c r="D33" s="6"/>
      <c r="E33" s="6" t="s">
        <v>39</v>
      </c>
      <c r="F33" s="6" t="s">
        <v>44</v>
      </c>
      <c r="G33" s="6" t="s">
        <v>48</v>
      </c>
      <c r="H33" s="6">
        <v>1100</v>
      </c>
      <c r="I33" s="6">
        <v>60</v>
      </c>
      <c r="J33" s="6">
        <f>H33/I33</f>
        <v>18.333333333333332</v>
      </c>
      <c r="K33" s="6">
        <v>6</v>
      </c>
      <c r="L33" s="6">
        <v>16.5</v>
      </c>
      <c r="M33" s="6">
        <f>J33+K33+L33+N33+P33</f>
        <v>41.833333333333329</v>
      </c>
      <c r="N33" s="7">
        <v>0</v>
      </c>
      <c r="O33" s="6">
        <v>0</v>
      </c>
      <c r="P33" s="6">
        <v>1</v>
      </c>
      <c r="Q33" s="13"/>
      <c r="R33">
        <v>33</v>
      </c>
    </row>
    <row r="34" spans="1:18" ht="14.25" customHeight="1" x14ac:dyDescent="0.45">
      <c r="A34" t="s">
        <v>47</v>
      </c>
      <c r="B34" s="6"/>
      <c r="C34" s="6">
        <v>3</v>
      </c>
      <c r="D34" s="6"/>
      <c r="E34" s="6" t="s">
        <v>39</v>
      </c>
      <c r="F34" s="6" t="s">
        <v>48</v>
      </c>
      <c r="G34" s="6" t="s">
        <v>41</v>
      </c>
      <c r="H34" s="6">
        <v>480</v>
      </c>
      <c r="I34" s="6">
        <v>60</v>
      </c>
      <c r="J34" s="6">
        <f>H34/I34</f>
        <v>8</v>
      </c>
      <c r="K34" s="6">
        <v>6</v>
      </c>
      <c r="L34" s="6">
        <v>12</v>
      </c>
      <c r="M34" s="6">
        <f>J34+K34+L34+N34+P34</f>
        <v>27.5</v>
      </c>
      <c r="N34" s="7">
        <v>0</v>
      </c>
      <c r="O34" s="6">
        <v>0</v>
      </c>
      <c r="P34" s="6">
        <v>1.5</v>
      </c>
      <c r="Q34" s="13"/>
      <c r="R34">
        <v>24</v>
      </c>
    </row>
    <row r="35" spans="1:18" ht="14.25" customHeight="1" x14ac:dyDescent="0.45">
      <c r="A35" t="s">
        <v>47</v>
      </c>
      <c r="B35" s="6"/>
      <c r="C35" s="6">
        <v>4</v>
      </c>
      <c r="D35" s="6"/>
      <c r="E35" s="6" t="s">
        <v>39</v>
      </c>
      <c r="F35" s="6" t="s">
        <v>41</v>
      </c>
      <c r="G35" s="6" t="s">
        <v>33</v>
      </c>
      <c r="H35" s="6">
        <v>530</v>
      </c>
      <c r="I35" s="6">
        <v>60</v>
      </c>
      <c r="J35" s="6">
        <f>H35/I35</f>
        <v>8.8333333333333339</v>
      </c>
      <c r="K35" s="6">
        <v>4</v>
      </c>
      <c r="L35" s="6">
        <v>12</v>
      </c>
      <c r="M35" s="6">
        <f>J35+K35+L35+N35+P35</f>
        <v>30.733333333333334</v>
      </c>
      <c r="N35" s="7">
        <v>0</v>
      </c>
      <c r="O35" s="6">
        <v>1</v>
      </c>
      <c r="P35" s="6">
        <v>5.9</v>
      </c>
      <c r="Q35" s="13"/>
      <c r="R35">
        <v>24</v>
      </c>
    </row>
    <row r="36" spans="1:18" ht="14.25" customHeight="1" x14ac:dyDescent="0.45">
      <c r="B36" s="14" t="s">
        <v>34</v>
      </c>
      <c r="C36" s="14"/>
      <c r="D36" s="14"/>
      <c r="E36" s="14"/>
      <c r="F36" s="14"/>
      <c r="G36" s="14"/>
      <c r="H36" s="14">
        <f>SUM(H32:H35)</f>
        <v>2977</v>
      </c>
      <c r="I36" s="14"/>
      <c r="J36" s="14">
        <f t="shared" ref="J36:P36" si="3">SUM(J32:J35)</f>
        <v>66.13095238095238</v>
      </c>
      <c r="K36" s="14">
        <f t="shared" si="3"/>
        <v>28</v>
      </c>
      <c r="L36" s="14">
        <f t="shared" si="3"/>
        <v>74.5</v>
      </c>
      <c r="M36" s="14">
        <f t="shared" si="3"/>
        <v>177.53095238095239</v>
      </c>
      <c r="N36" s="16">
        <f t="shared" si="3"/>
        <v>0</v>
      </c>
      <c r="O36" s="14">
        <f t="shared" si="3"/>
        <v>2</v>
      </c>
      <c r="P36" s="14">
        <f t="shared" si="3"/>
        <v>8.9</v>
      </c>
      <c r="Q36" s="22">
        <f>M36/24</f>
        <v>7.3971230158730163</v>
      </c>
    </row>
    <row r="39" spans="1:18" ht="14.25" customHeight="1" x14ac:dyDescent="0.45">
      <c r="B39" s="6" t="s">
        <v>49</v>
      </c>
      <c r="C39" s="6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36</v>
      </c>
      <c r="J39" s="6" t="s">
        <v>9</v>
      </c>
      <c r="K39" s="6" t="s">
        <v>10</v>
      </c>
      <c r="L39" s="6" t="s">
        <v>11</v>
      </c>
      <c r="M39" s="6" t="s">
        <v>12</v>
      </c>
      <c r="N39" s="7" t="s">
        <v>13</v>
      </c>
      <c r="O39" s="6" t="s">
        <v>14</v>
      </c>
      <c r="P39" s="6" t="s">
        <v>15</v>
      </c>
      <c r="Q39" s="6" t="s">
        <v>16</v>
      </c>
    </row>
    <row r="40" spans="1:18" ht="14.25" customHeight="1" x14ac:dyDescent="0.45">
      <c r="A40" t="s">
        <v>50</v>
      </c>
      <c r="B40" s="6"/>
      <c r="C40" s="6">
        <v>1</v>
      </c>
      <c r="D40" s="6" t="s">
        <v>19</v>
      </c>
      <c r="E40" s="6" t="s">
        <v>20</v>
      </c>
      <c r="F40" s="6" t="s">
        <v>21</v>
      </c>
      <c r="G40" s="6" t="s">
        <v>44</v>
      </c>
      <c r="H40" s="6">
        <v>867</v>
      </c>
      <c r="I40" s="6">
        <v>28</v>
      </c>
      <c r="J40" s="6">
        <f>H40/I40</f>
        <v>30.964285714285715</v>
      </c>
      <c r="K40" s="6">
        <v>12</v>
      </c>
      <c r="L40" s="6">
        <v>34</v>
      </c>
      <c r="M40" s="6">
        <f>J40+K40+L40+N40+P40</f>
        <v>77.464285714285722</v>
      </c>
      <c r="N40" s="7">
        <v>0</v>
      </c>
      <c r="O40" s="6">
        <v>1</v>
      </c>
      <c r="P40" s="6">
        <v>0.5</v>
      </c>
      <c r="Q40" s="6"/>
      <c r="R40">
        <v>68</v>
      </c>
    </row>
    <row r="41" spans="1:18" ht="14.25" customHeight="1" x14ac:dyDescent="0.45">
      <c r="A41" t="s">
        <v>50</v>
      </c>
      <c r="B41" s="6"/>
      <c r="C41" s="6">
        <v>2</v>
      </c>
      <c r="D41" s="6" t="s">
        <v>19</v>
      </c>
      <c r="E41" s="6" t="s">
        <v>20</v>
      </c>
      <c r="F41" s="6" t="s">
        <v>44</v>
      </c>
      <c r="G41" s="6" t="s">
        <v>51</v>
      </c>
      <c r="H41" s="6">
        <v>5130</v>
      </c>
      <c r="I41" s="6">
        <v>33</v>
      </c>
      <c r="J41" s="6">
        <f>H41/I41</f>
        <v>155.45454545454547</v>
      </c>
      <c r="K41" s="6">
        <v>12</v>
      </c>
      <c r="L41" s="6">
        <v>34</v>
      </c>
      <c r="M41" s="6">
        <f>J41+K41+L41+N41+P41</f>
        <v>201.95454545454547</v>
      </c>
      <c r="N41" s="7">
        <v>0</v>
      </c>
      <c r="O41" s="6">
        <v>0</v>
      </c>
      <c r="P41" s="6">
        <v>0.5</v>
      </c>
      <c r="Q41" s="6"/>
      <c r="R41">
        <v>68</v>
      </c>
    </row>
    <row r="42" spans="1:18" ht="14.25" customHeight="1" x14ac:dyDescent="0.45">
      <c r="A42" t="s">
        <v>50</v>
      </c>
      <c r="B42" s="6"/>
      <c r="C42" s="6">
        <v>3</v>
      </c>
      <c r="D42" s="6" t="s">
        <v>31</v>
      </c>
      <c r="E42" s="6" t="s">
        <v>26</v>
      </c>
      <c r="F42" s="6" t="s">
        <v>51</v>
      </c>
      <c r="G42" s="6" t="s">
        <v>33</v>
      </c>
      <c r="H42" s="6">
        <v>476</v>
      </c>
      <c r="I42" s="6">
        <v>80</v>
      </c>
      <c r="J42" s="6">
        <f>H42/I42</f>
        <v>5.95</v>
      </c>
      <c r="K42" s="6">
        <v>4</v>
      </c>
      <c r="L42" s="6">
        <v>0</v>
      </c>
      <c r="M42" s="6">
        <f>J42+K42+L42+N42+P42</f>
        <v>12.95</v>
      </c>
      <c r="N42" s="7">
        <v>0</v>
      </c>
      <c r="O42" s="6">
        <v>1</v>
      </c>
      <c r="P42" s="6">
        <v>3</v>
      </c>
      <c r="Q42" s="6"/>
      <c r="R42">
        <v>0</v>
      </c>
    </row>
    <row r="43" spans="1:18" ht="14.25" customHeight="1" x14ac:dyDescent="0.45">
      <c r="B43" s="14" t="s">
        <v>34</v>
      </c>
      <c r="C43" s="14">
        <f>COUNT(C40:C42)</f>
        <v>3</v>
      </c>
      <c r="D43" s="14"/>
      <c r="E43" s="14"/>
      <c r="F43" s="14"/>
      <c r="G43" s="14"/>
      <c r="H43" s="14">
        <f>SUM(H40:H42)</f>
        <v>6473</v>
      </c>
      <c r="I43" s="14"/>
      <c r="J43" s="14">
        <f t="shared" ref="J43:P43" si="4">SUM(J40:J42)</f>
        <v>192.36883116883118</v>
      </c>
      <c r="K43" s="14">
        <f t="shared" si="4"/>
        <v>28</v>
      </c>
      <c r="L43" s="14">
        <f t="shared" si="4"/>
        <v>68</v>
      </c>
      <c r="M43" s="14">
        <f t="shared" si="4"/>
        <v>292.36883116883115</v>
      </c>
      <c r="N43" s="16">
        <f t="shared" si="4"/>
        <v>0</v>
      </c>
      <c r="O43" s="14">
        <f t="shared" si="4"/>
        <v>2</v>
      </c>
      <c r="P43" s="14">
        <f t="shared" si="4"/>
        <v>4</v>
      </c>
      <c r="Q43" s="23">
        <f>M43/24</f>
        <v>12.182034632034631</v>
      </c>
    </row>
    <row r="46" spans="1:18" ht="14.25" customHeight="1" x14ac:dyDescent="0.45">
      <c r="B46" s="6" t="s">
        <v>52</v>
      </c>
      <c r="C46" s="6" t="s">
        <v>2</v>
      </c>
      <c r="D46" s="6" t="s">
        <v>3</v>
      </c>
      <c r="E46" s="6" t="s">
        <v>4</v>
      </c>
      <c r="F46" s="6" t="s">
        <v>5</v>
      </c>
      <c r="G46" s="6" t="s">
        <v>6</v>
      </c>
      <c r="H46" s="6" t="s">
        <v>7</v>
      </c>
      <c r="I46" s="6" t="s">
        <v>36</v>
      </c>
      <c r="J46" s="6" t="s">
        <v>9</v>
      </c>
      <c r="K46" s="6" t="s">
        <v>10</v>
      </c>
      <c r="L46" s="6" t="s">
        <v>11</v>
      </c>
      <c r="M46" s="6" t="s">
        <v>12</v>
      </c>
      <c r="N46" s="7" t="s">
        <v>13</v>
      </c>
      <c r="O46" s="6" t="s">
        <v>14</v>
      </c>
      <c r="P46" s="6" t="s">
        <v>15</v>
      </c>
      <c r="Q46" s="6" t="s">
        <v>16</v>
      </c>
    </row>
    <row r="47" spans="1:18" ht="14.25" customHeight="1" x14ac:dyDescent="0.45">
      <c r="A47" t="s">
        <v>53</v>
      </c>
      <c r="B47" s="6"/>
      <c r="C47" s="6">
        <v>1</v>
      </c>
      <c r="D47" s="6" t="s">
        <v>19</v>
      </c>
      <c r="E47" s="6" t="s">
        <v>20</v>
      </c>
      <c r="F47" s="6" t="s">
        <v>21</v>
      </c>
      <c r="G47" s="6" t="s">
        <v>44</v>
      </c>
      <c r="H47" s="6">
        <v>867</v>
      </c>
      <c r="I47" s="6">
        <v>28</v>
      </c>
      <c r="J47" s="6">
        <f>H47/I47</f>
        <v>30.964285714285715</v>
      </c>
      <c r="K47" s="6">
        <v>12</v>
      </c>
      <c r="L47" s="6">
        <v>34</v>
      </c>
      <c r="M47" s="6">
        <f>J47+K47+L47+N47+P47</f>
        <v>77.464285714285722</v>
      </c>
      <c r="N47" s="7">
        <v>0</v>
      </c>
      <c r="O47" s="6">
        <v>1</v>
      </c>
      <c r="P47" s="6">
        <v>0.5</v>
      </c>
      <c r="Q47" s="6"/>
      <c r="R47">
        <v>68</v>
      </c>
    </row>
    <row r="48" spans="1:18" ht="14.25" customHeight="1" x14ac:dyDescent="0.45">
      <c r="A48" t="s">
        <v>53</v>
      </c>
      <c r="B48" s="6"/>
      <c r="C48" s="6">
        <v>2</v>
      </c>
      <c r="D48" s="6" t="s">
        <v>31</v>
      </c>
      <c r="E48" s="6" t="s">
        <v>26</v>
      </c>
      <c r="F48" s="6" t="s">
        <v>44</v>
      </c>
      <c r="G48" s="6" t="s">
        <v>33</v>
      </c>
      <c r="H48" s="6">
        <v>1780</v>
      </c>
      <c r="I48" s="6">
        <v>80</v>
      </c>
      <c r="J48" s="6">
        <f>H48/I48</f>
        <v>22.25</v>
      </c>
      <c r="K48" s="6">
        <v>4</v>
      </c>
      <c r="L48" s="6">
        <v>0</v>
      </c>
      <c r="M48" s="6">
        <f>J48+K48+L48+N48+P48</f>
        <v>63.75</v>
      </c>
      <c r="N48" s="7">
        <v>33</v>
      </c>
      <c r="O48" s="6">
        <v>0</v>
      </c>
      <c r="P48" s="6">
        <v>4.5</v>
      </c>
      <c r="Q48" s="6"/>
      <c r="R48">
        <v>0</v>
      </c>
    </row>
    <row r="49" spans="2:17" ht="14.25" customHeight="1" x14ac:dyDescent="0.45">
      <c r="B49" s="24" t="s">
        <v>34</v>
      </c>
      <c r="C49" s="24">
        <f>COUNT(C47:C48)</f>
        <v>2</v>
      </c>
      <c r="D49" s="24"/>
      <c r="E49" s="24"/>
      <c r="F49" s="24"/>
      <c r="G49" s="24"/>
      <c r="H49" s="24">
        <f>SUM(H47:H48)</f>
        <v>2647</v>
      </c>
      <c r="I49" s="24"/>
      <c r="J49" s="24">
        <f t="shared" ref="J49:P49" si="5">SUM(J47:J48)</f>
        <v>53.214285714285715</v>
      </c>
      <c r="K49" s="24">
        <f t="shared" si="5"/>
        <v>16</v>
      </c>
      <c r="L49" s="24">
        <f t="shared" si="5"/>
        <v>34</v>
      </c>
      <c r="M49" s="24">
        <f t="shared" si="5"/>
        <v>141.21428571428572</v>
      </c>
      <c r="N49" s="16">
        <f t="shared" si="5"/>
        <v>33</v>
      </c>
      <c r="O49" s="24">
        <f t="shared" si="5"/>
        <v>1</v>
      </c>
      <c r="P49" s="24">
        <f t="shared" si="5"/>
        <v>5</v>
      </c>
      <c r="Q49" s="25">
        <f>M49/24</f>
        <v>5.8839285714285721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zoomScale="80" zoomScaleNormal="80" workbookViewId="0">
      <selection activeCell="C9" sqref="C9"/>
    </sheetView>
  </sheetViews>
  <sheetFormatPr defaultColWidth="8.46484375" defaultRowHeight="14.25" x14ac:dyDescent="0.45"/>
  <cols>
    <col min="1" max="1" width="29.3984375" customWidth="1"/>
    <col min="2" max="2" width="12.59765625" customWidth="1"/>
    <col min="3" max="3" width="45.1328125" customWidth="1"/>
    <col min="9" max="9" width="14" customWidth="1"/>
    <col min="12" max="12" width="14.73046875" bestFit="1" customWidth="1"/>
    <col min="13" max="13" width="15.1328125" customWidth="1"/>
    <col min="14" max="14" width="16.1328125" customWidth="1"/>
    <col min="15" max="15" width="10.265625" customWidth="1"/>
    <col min="16" max="16" width="20.265625" customWidth="1"/>
  </cols>
  <sheetData>
    <row r="1" spans="1:16" ht="14.25" customHeight="1" x14ac:dyDescent="0.45">
      <c r="A1" t="s">
        <v>54</v>
      </c>
      <c r="B1" t="s">
        <v>55</v>
      </c>
      <c r="G1" s="5" t="s">
        <v>1</v>
      </c>
      <c r="H1" s="5" t="s">
        <v>2</v>
      </c>
      <c r="I1" s="7" t="s">
        <v>3</v>
      </c>
      <c r="J1" s="5" t="s">
        <v>4</v>
      </c>
      <c r="K1" s="26" t="s">
        <v>5</v>
      </c>
      <c r="L1" s="26" t="s">
        <v>6</v>
      </c>
      <c r="M1" s="26" t="s">
        <v>56</v>
      </c>
      <c r="N1" s="26" t="s">
        <v>57</v>
      </c>
      <c r="O1" s="26" t="s">
        <v>58</v>
      </c>
      <c r="P1" s="26" t="s">
        <v>59</v>
      </c>
    </row>
    <row r="2" spans="1:16" ht="14.25" customHeight="1" x14ac:dyDescent="0.45">
      <c r="A2" t="s">
        <v>60</v>
      </c>
      <c r="B2" s="27">
        <v>330</v>
      </c>
      <c r="G2" s="6"/>
      <c r="H2" s="6">
        <v>1</v>
      </c>
      <c r="I2" s="7" t="s">
        <v>19</v>
      </c>
      <c r="J2" s="6" t="s">
        <v>20</v>
      </c>
      <c r="K2" s="7" t="s">
        <v>21</v>
      </c>
      <c r="L2" s="7" t="s">
        <v>22</v>
      </c>
      <c r="M2" s="7">
        <f>B4*Ruter!H2</f>
        <v>6391</v>
      </c>
      <c r="N2" s="7"/>
      <c r="O2" s="7"/>
      <c r="P2" s="7"/>
    </row>
    <row r="3" spans="1:16" ht="14.25" customHeight="1" x14ac:dyDescent="0.45">
      <c r="A3" t="s">
        <v>61</v>
      </c>
      <c r="B3" s="27">
        <v>0.5</v>
      </c>
      <c r="G3" s="6"/>
      <c r="H3" s="6">
        <v>2</v>
      </c>
      <c r="I3" s="7" t="s">
        <v>19</v>
      </c>
      <c r="J3" s="6" t="s">
        <v>23</v>
      </c>
      <c r="K3" s="7" t="s">
        <v>22</v>
      </c>
      <c r="L3" s="7" t="s">
        <v>24</v>
      </c>
      <c r="M3" s="7">
        <f>$B$3*Ruter!H3*$B$9</f>
        <v>14400</v>
      </c>
      <c r="N3" s="7"/>
      <c r="O3" s="7"/>
      <c r="P3" s="7"/>
    </row>
    <row r="4" spans="1:16" ht="14.25" customHeight="1" x14ac:dyDescent="0.45">
      <c r="A4" t="s">
        <v>62</v>
      </c>
      <c r="B4">
        <v>7</v>
      </c>
      <c r="G4" s="6"/>
      <c r="H4" s="6">
        <v>3</v>
      </c>
      <c r="I4" s="7" t="s">
        <v>25</v>
      </c>
      <c r="J4" s="6" t="s">
        <v>26</v>
      </c>
      <c r="K4" s="7" t="s">
        <v>27</v>
      </c>
      <c r="L4" s="7" t="s">
        <v>28</v>
      </c>
      <c r="M4" s="7">
        <f>$B$5*Ruter!H4*$B$9</f>
        <v>360</v>
      </c>
      <c r="N4" s="7"/>
      <c r="O4" s="7"/>
      <c r="P4" s="7"/>
    </row>
    <row r="5" spans="1:16" ht="14.25" customHeight="1" x14ac:dyDescent="0.45">
      <c r="A5" t="s">
        <v>63</v>
      </c>
      <c r="B5" s="27">
        <v>0.75</v>
      </c>
      <c r="G5" s="6"/>
      <c r="H5" s="6">
        <v>4</v>
      </c>
      <c r="I5" s="7" t="s">
        <v>19</v>
      </c>
      <c r="J5" s="6" t="s">
        <v>29</v>
      </c>
      <c r="K5" s="7" t="s">
        <v>24</v>
      </c>
      <c r="L5" s="7" t="s">
        <v>64</v>
      </c>
      <c r="M5" s="7">
        <f>$B$3*Ruter!H5*$B$9</f>
        <v>5400</v>
      </c>
      <c r="N5" s="7"/>
      <c r="O5" s="7"/>
      <c r="P5" s="7"/>
    </row>
    <row r="6" spans="1:16" ht="14.25" customHeight="1" x14ac:dyDescent="0.45">
      <c r="A6" t="s">
        <v>65</v>
      </c>
      <c r="B6">
        <v>1000</v>
      </c>
      <c r="G6" s="6"/>
      <c r="H6" s="6">
        <v>5</v>
      </c>
      <c r="I6" s="7" t="s">
        <v>31</v>
      </c>
      <c r="J6" s="6" t="s">
        <v>32</v>
      </c>
      <c r="K6" s="7" t="s">
        <v>64</v>
      </c>
      <c r="L6" s="7" t="s">
        <v>33</v>
      </c>
      <c r="M6" s="7">
        <f>$B$3*Ruter!H6*$B$9</f>
        <v>7200</v>
      </c>
      <c r="N6" s="7"/>
      <c r="O6" s="7"/>
      <c r="P6" s="7"/>
    </row>
    <row r="7" spans="1:16" ht="14.25" customHeight="1" x14ac:dyDescent="0.45">
      <c r="A7" s="28" t="s">
        <v>66</v>
      </c>
      <c r="B7" s="28">
        <v>0</v>
      </c>
      <c r="G7" s="20" t="s">
        <v>34</v>
      </c>
      <c r="H7" s="20"/>
      <c r="I7" s="20"/>
      <c r="J7" s="20"/>
      <c r="K7" s="20"/>
      <c r="L7" s="20"/>
      <c r="M7" s="20">
        <f>SUM(M2:M6)</f>
        <v>33751</v>
      </c>
      <c r="N7" s="20">
        <f>$B$8*Ruter!O7</f>
        <v>3000</v>
      </c>
      <c r="O7" s="20">
        <f>B2*Ruter!M7</f>
        <v>60172.357142857152</v>
      </c>
      <c r="P7" s="29">
        <f>SUM(M7:O7)</f>
        <v>96923.357142857159</v>
      </c>
    </row>
    <row r="8" spans="1:16" ht="14.25" customHeight="1" x14ac:dyDescent="0.45">
      <c r="A8" s="28" t="s">
        <v>67</v>
      </c>
      <c r="B8" s="28">
        <v>1000</v>
      </c>
    </row>
    <row r="9" spans="1:16" ht="14.25" customHeight="1" x14ac:dyDescent="0.45">
      <c r="A9" s="27" t="s">
        <v>68</v>
      </c>
      <c r="B9" s="27">
        <v>24</v>
      </c>
    </row>
    <row r="10" spans="1:16" ht="14.25" customHeight="1" x14ac:dyDescent="0.45">
      <c r="G10" s="5" t="s">
        <v>35</v>
      </c>
      <c r="H10" s="5" t="s">
        <v>2</v>
      </c>
      <c r="I10" s="5" t="s">
        <v>3</v>
      </c>
      <c r="J10" s="5" t="s">
        <v>4</v>
      </c>
      <c r="K10" s="5" t="s">
        <v>5</v>
      </c>
      <c r="L10" s="5" t="s">
        <v>6</v>
      </c>
      <c r="M10" s="26" t="s">
        <v>56</v>
      </c>
      <c r="N10" s="26" t="s">
        <v>57</v>
      </c>
      <c r="O10" s="26" t="s">
        <v>58</v>
      </c>
      <c r="P10" s="26" t="s">
        <v>59</v>
      </c>
    </row>
    <row r="11" spans="1:16" ht="14.25" customHeight="1" x14ac:dyDescent="0.45">
      <c r="G11" s="6"/>
      <c r="H11" s="6">
        <v>1</v>
      </c>
      <c r="I11" s="6" t="s">
        <v>19</v>
      </c>
      <c r="J11" s="6" t="s">
        <v>20</v>
      </c>
      <c r="K11" s="6" t="s">
        <v>21</v>
      </c>
      <c r="L11" s="6" t="s">
        <v>38</v>
      </c>
      <c r="M11" s="7">
        <f>B4*Ruter!H11</f>
        <v>5537</v>
      </c>
      <c r="N11" s="7"/>
      <c r="O11" s="7"/>
      <c r="P11" s="7"/>
    </row>
    <row r="12" spans="1:16" ht="14.25" customHeight="1" x14ac:dyDescent="0.45">
      <c r="G12" s="6"/>
      <c r="H12" s="6">
        <v>2</v>
      </c>
      <c r="I12" s="6" t="s">
        <v>19</v>
      </c>
      <c r="J12" s="6" t="s">
        <v>39</v>
      </c>
      <c r="K12" s="6" t="s">
        <v>38</v>
      </c>
      <c r="L12" s="6" t="s">
        <v>40</v>
      </c>
      <c r="M12" s="7">
        <f>$B$3*Ruter!H12*$B$9</f>
        <v>10080</v>
      </c>
      <c r="N12" s="7"/>
      <c r="O12" s="7"/>
      <c r="P12" s="7"/>
    </row>
    <row r="13" spans="1:16" ht="14.25" customHeight="1" x14ac:dyDescent="0.45">
      <c r="G13" s="6"/>
      <c r="H13" s="6">
        <v>3</v>
      </c>
      <c r="I13" s="6" t="s">
        <v>19</v>
      </c>
      <c r="J13" s="6" t="s">
        <v>39</v>
      </c>
      <c r="K13" s="6" t="s">
        <v>40</v>
      </c>
      <c r="L13" s="6" t="s">
        <v>41</v>
      </c>
      <c r="M13" s="7">
        <f>$B$3*Ruter!H13*$B$9</f>
        <v>4800</v>
      </c>
      <c r="N13" s="7"/>
      <c r="O13" s="7"/>
      <c r="P13" s="7"/>
    </row>
    <row r="14" spans="1:16" ht="14.25" customHeight="1" x14ac:dyDescent="0.45">
      <c r="G14" s="6"/>
      <c r="H14" s="6">
        <v>4</v>
      </c>
      <c r="I14" s="6" t="s">
        <v>31</v>
      </c>
      <c r="J14" s="6" t="s">
        <v>39</v>
      </c>
      <c r="K14" s="6" t="s">
        <v>41</v>
      </c>
      <c r="L14" s="6" t="s">
        <v>33</v>
      </c>
      <c r="M14" s="7">
        <f>$B$3*Ruter!H14*$B$9</f>
        <v>6360</v>
      </c>
      <c r="N14" s="7"/>
      <c r="O14" s="7"/>
      <c r="P14" s="7"/>
    </row>
    <row r="15" spans="1:16" ht="14.25" customHeight="1" x14ac:dyDescent="0.45">
      <c r="G15" s="30" t="s">
        <v>34</v>
      </c>
      <c r="H15" s="30"/>
      <c r="I15" s="30"/>
      <c r="J15" s="30"/>
      <c r="K15" s="30"/>
      <c r="L15" s="30"/>
      <c r="M15" s="20">
        <f>SUM(M11:M14)</f>
        <v>26777</v>
      </c>
      <c r="N15" s="20">
        <f>$B$8*Ruter!O15</f>
        <v>2000</v>
      </c>
      <c r="O15" s="20">
        <f>$B$2*Ruter!M15</f>
        <v>56974.500000000015</v>
      </c>
      <c r="P15" s="31">
        <f>SUM(M15:O15)</f>
        <v>85751.500000000015</v>
      </c>
    </row>
    <row r="16" spans="1:16" ht="14.25" customHeight="1" x14ac:dyDescent="0.45">
      <c r="P16" s="32"/>
    </row>
    <row r="17" spans="7:16" ht="14.25" customHeight="1" x14ac:dyDescent="0.45"/>
    <row r="18" spans="7:16" ht="14.25" customHeight="1" x14ac:dyDescent="0.45">
      <c r="P18" s="32"/>
    </row>
    <row r="21" spans="7:16" ht="14.25" customHeight="1" x14ac:dyDescent="0.45">
      <c r="G21" s="5" t="s">
        <v>42</v>
      </c>
      <c r="H21" s="5" t="s">
        <v>2</v>
      </c>
      <c r="I21" s="5" t="s">
        <v>3</v>
      </c>
      <c r="J21" s="5" t="s">
        <v>4</v>
      </c>
      <c r="K21" s="5" t="s">
        <v>5</v>
      </c>
      <c r="L21" s="5" t="s">
        <v>6</v>
      </c>
      <c r="M21" s="26" t="s">
        <v>56</v>
      </c>
      <c r="N21" s="26" t="s">
        <v>57</v>
      </c>
      <c r="O21" s="26" t="s">
        <v>58</v>
      </c>
      <c r="P21" s="26" t="s">
        <v>59</v>
      </c>
    </row>
    <row r="22" spans="7:16" ht="14.25" customHeight="1" x14ac:dyDescent="0.45">
      <c r="G22" s="6"/>
      <c r="H22" s="6">
        <v>1</v>
      </c>
      <c r="I22" s="6"/>
      <c r="J22" s="6" t="s">
        <v>20</v>
      </c>
      <c r="K22" s="6" t="s">
        <v>21</v>
      </c>
      <c r="L22" s="6" t="s">
        <v>44</v>
      </c>
      <c r="M22" s="7">
        <f>B4*Ruter!H22</f>
        <v>6069</v>
      </c>
      <c r="N22" s="7"/>
      <c r="O22" s="7"/>
      <c r="P22" s="7"/>
    </row>
    <row r="23" spans="7:16" ht="14.25" customHeight="1" x14ac:dyDescent="0.45">
      <c r="G23" s="6"/>
      <c r="H23" s="6">
        <v>2</v>
      </c>
      <c r="I23" s="6"/>
      <c r="J23" s="6" t="s">
        <v>39</v>
      </c>
      <c r="K23" s="6" t="s">
        <v>44</v>
      </c>
      <c r="L23" s="6" t="s">
        <v>45</v>
      </c>
      <c r="M23" s="7">
        <f>$B$3*Ruter!H23*$B$9</f>
        <v>10200</v>
      </c>
      <c r="N23" s="7"/>
      <c r="O23" s="7"/>
      <c r="P23" s="7"/>
    </row>
    <row r="24" spans="7:16" ht="14.25" customHeight="1" x14ac:dyDescent="0.45">
      <c r="G24" s="6"/>
      <c r="H24" s="6">
        <v>3</v>
      </c>
      <c r="I24" s="6"/>
      <c r="J24" s="6" t="s">
        <v>39</v>
      </c>
      <c r="K24" s="6" t="s">
        <v>45</v>
      </c>
      <c r="L24" s="6" t="s">
        <v>41</v>
      </c>
      <c r="M24" s="7">
        <f>$B$3*Ruter!H24*$B$9</f>
        <v>4800</v>
      </c>
      <c r="N24" s="7"/>
      <c r="O24" s="7"/>
      <c r="P24" s="7"/>
    </row>
    <row r="25" spans="7:16" ht="14.25" customHeight="1" x14ac:dyDescent="0.45">
      <c r="G25" s="6"/>
      <c r="H25" s="6">
        <v>4</v>
      </c>
      <c r="I25" s="6"/>
      <c r="J25" s="6" t="s">
        <v>39</v>
      </c>
      <c r="K25" s="6" t="s">
        <v>41</v>
      </c>
      <c r="L25" s="6" t="s">
        <v>33</v>
      </c>
      <c r="M25" s="7">
        <f>$B$3*Ruter!H25*$B$9</f>
        <v>6360</v>
      </c>
      <c r="N25" s="7"/>
      <c r="O25" s="7"/>
      <c r="P25" s="7"/>
    </row>
    <row r="26" spans="7:16" ht="14.25" customHeight="1" x14ac:dyDescent="0.45">
      <c r="G26" s="23" t="s">
        <v>34</v>
      </c>
      <c r="H26" s="23"/>
      <c r="I26" s="23"/>
      <c r="J26" s="23"/>
      <c r="K26" s="23"/>
      <c r="L26" s="23"/>
      <c r="M26" s="20">
        <f>SUM(M22:M25)</f>
        <v>27429</v>
      </c>
      <c r="N26" s="20">
        <f>$B$8*Ruter!O26</f>
        <v>2000</v>
      </c>
      <c r="O26" s="20">
        <f>B2*Ruter!M26</f>
        <v>69145.21428571429</v>
      </c>
      <c r="P26" s="29">
        <f>SUM(M26:O26)</f>
        <v>98574.21428571429</v>
      </c>
    </row>
    <row r="27" spans="7:16" ht="14.25" customHeight="1" x14ac:dyDescent="0.45">
      <c r="P27" s="32"/>
    </row>
    <row r="30" spans="7:16" ht="14.25" customHeight="1" x14ac:dyDescent="0.45">
      <c r="G30" s="6" t="s">
        <v>46</v>
      </c>
      <c r="H30" s="5" t="s">
        <v>2</v>
      </c>
      <c r="I30" s="5" t="s">
        <v>3</v>
      </c>
      <c r="J30" s="5" t="s">
        <v>4</v>
      </c>
      <c r="K30" s="5" t="s">
        <v>5</v>
      </c>
      <c r="L30" s="5" t="s">
        <v>6</v>
      </c>
      <c r="M30" s="26" t="s">
        <v>56</v>
      </c>
      <c r="N30" s="26" t="s">
        <v>57</v>
      </c>
      <c r="O30" s="26" t="s">
        <v>58</v>
      </c>
      <c r="P30" s="26" t="s">
        <v>59</v>
      </c>
    </row>
    <row r="31" spans="7:16" ht="14.25" customHeight="1" x14ac:dyDescent="0.45">
      <c r="G31" s="6"/>
      <c r="H31" s="6">
        <v>1</v>
      </c>
      <c r="I31" s="6"/>
      <c r="J31" s="6" t="s">
        <v>20</v>
      </c>
      <c r="K31" s="6" t="s">
        <v>21</v>
      </c>
      <c r="L31" s="6" t="s">
        <v>44</v>
      </c>
      <c r="M31" s="7">
        <f>B4*Ruter!H32</f>
        <v>6069</v>
      </c>
      <c r="N31" s="7"/>
      <c r="O31" s="7"/>
      <c r="P31" s="7"/>
    </row>
    <row r="32" spans="7:16" ht="14.25" customHeight="1" x14ac:dyDescent="0.45">
      <c r="G32" s="6"/>
      <c r="H32" s="6">
        <v>2</v>
      </c>
      <c r="I32" s="6"/>
      <c r="J32" s="6" t="s">
        <v>39</v>
      </c>
      <c r="K32" s="6" t="s">
        <v>44</v>
      </c>
      <c r="L32" s="6" t="s">
        <v>48</v>
      </c>
      <c r="M32" s="7">
        <f>$B$3*Ruter!H33*$B$9</f>
        <v>13200</v>
      </c>
      <c r="N32" s="7"/>
      <c r="O32" s="7"/>
      <c r="P32" s="7"/>
    </row>
    <row r="33" spans="7:16" ht="14.25" customHeight="1" x14ac:dyDescent="0.45">
      <c r="G33" s="6"/>
      <c r="H33" s="6">
        <v>3</v>
      </c>
      <c r="I33" s="6"/>
      <c r="J33" s="6" t="s">
        <v>39</v>
      </c>
      <c r="K33" s="6" t="s">
        <v>48</v>
      </c>
      <c r="L33" s="6" t="s">
        <v>30</v>
      </c>
      <c r="M33" s="7">
        <f>$B$3*Ruter!H34*$B$9</f>
        <v>5760</v>
      </c>
      <c r="N33" s="7"/>
      <c r="O33" s="7"/>
      <c r="P33" s="7"/>
    </row>
    <row r="34" spans="7:16" ht="14.25" customHeight="1" x14ac:dyDescent="0.45">
      <c r="G34" s="6"/>
      <c r="H34" s="6">
        <v>4</v>
      </c>
      <c r="I34" s="6"/>
      <c r="J34" s="6" t="s">
        <v>39</v>
      </c>
      <c r="K34" s="6" t="s">
        <v>69</v>
      </c>
      <c r="L34" s="6" t="s">
        <v>33</v>
      </c>
      <c r="M34" s="7">
        <f>$B$3*Ruter!H35*$B$9</f>
        <v>6360</v>
      </c>
      <c r="N34" s="7"/>
      <c r="O34" s="7"/>
      <c r="P34" s="7"/>
    </row>
    <row r="35" spans="7:16" ht="14.25" customHeight="1" x14ac:dyDescent="0.45">
      <c r="G35" s="23" t="s">
        <v>34</v>
      </c>
      <c r="H35" s="23"/>
      <c r="I35" s="23"/>
      <c r="J35" s="23"/>
      <c r="K35" s="23"/>
      <c r="L35" s="23"/>
      <c r="M35" s="20">
        <f>SUM(M31:M34)</f>
        <v>31389</v>
      </c>
      <c r="N35" s="20">
        <f>$B$8*Ruter!O36</f>
        <v>2000</v>
      </c>
      <c r="O35" s="20">
        <f>B2*Ruter!M36</f>
        <v>58585.21428571429</v>
      </c>
      <c r="P35" s="29">
        <f>SUM(M35:O35)</f>
        <v>91974.21428571429</v>
      </c>
    </row>
    <row r="36" spans="7:16" ht="14.25" customHeight="1" x14ac:dyDescent="0.45">
      <c r="P36" s="32"/>
    </row>
    <row r="39" spans="7:16" ht="14.25" customHeight="1" x14ac:dyDescent="0.45">
      <c r="G39" s="7" t="s">
        <v>49</v>
      </c>
      <c r="H39" s="7" t="s">
        <v>2</v>
      </c>
      <c r="I39" s="7" t="s">
        <v>3</v>
      </c>
      <c r="J39" s="7" t="s">
        <v>4</v>
      </c>
      <c r="K39" s="7" t="s">
        <v>5</v>
      </c>
      <c r="L39" s="7" t="s">
        <v>6</v>
      </c>
      <c r="M39" s="7" t="s">
        <v>56</v>
      </c>
      <c r="N39" s="7" t="s">
        <v>57</v>
      </c>
      <c r="O39" s="7" t="s">
        <v>58</v>
      </c>
      <c r="P39" s="7" t="s">
        <v>59</v>
      </c>
    </row>
    <row r="40" spans="7:16" ht="14.25" customHeight="1" x14ac:dyDescent="0.45">
      <c r="G40" s="7"/>
      <c r="H40" s="7">
        <v>1</v>
      </c>
      <c r="I40" s="7" t="s">
        <v>19</v>
      </c>
      <c r="J40" s="7" t="s">
        <v>20</v>
      </c>
      <c r="K40" s="7" t="s">
        <v>21</v>
      </c>
      <c r="L40" s="7" t="s">
        <v>44</v>
      </c>
      <c r="M40" s="7">
        <f>B4*Ruter!H40</f>
        <v>6069</v>
      </c>
      <c r="N40" s="7"/>
      <c r="O40" s="7"/>
      <c r="P40" s="7"/>
    </row>
    <row r="41" spans="7:16" ht="14.25" customHeight="1" x14ac:dyDescent="0.45">
      <c r="G41" s="7"/>
      <c r="H41" s="7">
        <v>2</v>
      </c>
      <c r="I41" s="7" t="s">
        <v>19</v>
      </c>
      <c r="J41" s="7" t="s">
        <v>20</v>
      </c>
      <c r="K41" s="7" t="s">
        <v>44</v>
      </c>
      <c r="L41" s="7" t="s">
        <v>51</v>
      </c>
      <c r="M41" s="7">
        <f>B4*Ruter!H41</f>
        <v>35910</v>
      </c>
      <c r="N41" s="7"/>
      <c r="O41" s="7"/>
      <c r="P41" s="7"/>
    </row>
    <row r="42" spans="7:16" ht="14.25" customHeight="1" x14ac:dyDescent="0.45">
      <c r="G42" s="7"/>
      <c r="H42" s="7">
        <v>3</v>
      </c>
      <c r="I42" s="7" t="s">
        <v>31</v>
      </c>
      <c r="J42" s="7" t="s">
        <v>26</v>
      </c>
      <c r="K42" s="7" t="s">
        <v>51</v>
      </c>
      <c r="L42" s="7" t="s">
        <v>33</v>
      </c>
      <c r="M42" s="7">
        <f>$B$5*Ruter!H42*$B$9</f>
        <v>8568</v>
      </c>
      <c r="N42" s="7"/>
      <c r="O42" s="7"/>
      <c r="P42" s="7"/>
    </row>
    <row r="43" spans="7:16" ht="14.25" customHeight="1" x14ac:dyDescent="0.45">
      <c r="G43" s="20" t="s">
        <v>34</v>
      </c>
      <c r="H43" s="20"/>
      <c r="I43" s="20"/>
      <c r="J43" s="20"/>
      <c r="K43" s="20"/>
      <c r="L43" s="20"/>
      <c r="M43" s="20">
        <f>SUM(M40:M42)</f>
        <v>50547</v>
      </c>
      <c r="N43" s="20">
        <f>$B$8*Ruter!O43</f>
        <v>2000</v>
      </c>
      <c r="O43" s="20">
        <f>$B$2*Ruter!M43</f>
        <v>96481.714285714275</v>
      </c>
      <c r="P43" s="31">
        <f>SUM(M43:O43)</f>
        <v>149028.71428571426</v>
      </c>
    </row>
    <row r="47" spans="7:16" x14ac:dyDescent="0.45">
      <c r="G47" s="7" t="s">
        <v>52</v>
      </c>
      <c r="H47" s="7" t="s">
        <v>2</v>
      </c>
      <c r="I47" s="7" t="s">
        <v>3</v>
      </c>
      <c r="J47" s="7" t="s">
        <v>4</v>
      </c>
      <c r="K47" s="7" t="s">
        <v>5</v>
      </c>
      <c r="L47" s="7" t="s">
        <v>6</v>
      </c>
      <c r="M47" s="7" t="s">
        <v>56</v>
      </c>
      <c r="N47" s="7" t="s">
        <v>57</v>
      </c>
      <c r="O47" s="7" t="s">
        <v>58</v>
      </c>
      <c r="P47" s="7" t="s">
        <v>59</v>
      </c>
    </row>
    <row r="48" spans="7:16" x14ac:dyDescent="0.45">
      <c r="G48" s="7"/>
      <c r="H48" s="7">
        <v>1</v>
      </c>
      <c r="I48" s="7" t="s">
        <v>19</v>
      </c>
      <c r="J48" s="7" t="s">
        <v>20</v>
      </c>
      <c r="K48" s="7" t="s">
        <v>21</v>
      </c>
      <c r="L48" s="7" t="s">
        <v>44</v>
      </c>
      <c r="M48" s="7">
        <f>B4*Ruter!H47</f>
        <v>6069</v>
      </c>
      <c r="N48" s="7"/>
      <c r="O48" s="7"/>
      <c r="P48" s="7"/>
    </row>
    <row r="49" spans="7:16" x14ac:dyDescent="0.45">
      <c r="G49" s="7"/>
      <c r="H49" s="7">
        <v>2</v>
      </c>
      <c r="I49" s="7" t="s">
        <v>31</v>
      </c>
      <c r="J49" s="7" t="s">
        <v>26</v>
      </c>
      <c r="K49" s="7" t="s">
        <v>44</v>
      </c>
      <c r="L49" s="7" t="s">
        <v>33</v>
      </c>
      <c r="M49" s="7">
        <f>$B$5*Ruter!H48*$B$9</f>
        <v>32040</v>
      </c>
      <c r="N49" s="7"/>
      <c r="O49" s="7"/>
      <c r="P49" s="7"/>
    </row>
    <row r="50" spans="7:16" x14ac:dyDescent="0.45">
      <c r="G50" s="20" t="s">
        <v>34</v>
      </c>
      <c r="H50" s="20"/>
      <c r="I50" s="20"/>
      <c r="J50" s="20"/>
      <c r="K50" s="20"/>
      <c r="L50" s="20"/>
      <c r="M50" s="20">
        <f>SUM(M48:M49)</f>
        <v>38109</v>
      </c>
      <c r="N50" s="20">
        <v>1000</v>
      </c>
      <c r="O50" s="20">
        <v>49279.112903225803</v>
      </c>
      <c r="P50" s="31">
        <f>SUM(M50:O50)</f>
        <v>88388.112903225803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8"/>
  <sheetViews>
    <sheetView zoomScale="72" zoomScaleNormal="72" workbookViewId="0">
      <selection activeCell="N18" sqref="N18"/>
    </sheetView>
  </sheetViews>
  <sheetFormatPr defaultColWidth="8.46484375" defaultRowHeight="14.25" x14ac:dyDescent="0.45"/>
  <cols>
    <col min="2" max="2" width="19.46484375" customWidth="1"/>
    <col min="3" max="3" width="11.265625" customWidth="1"/>
    <col min="4" max="4" width="11" customWidth="1"/>
  </cols>
  <sheetData>
    <row r="2" spans="1:4" ht="14.25" customHeight="1" x14ac:dyDescent="0.45">
      <c r="A2" t="s">
        <v>70</v>
      </c>
      <c r="B2" t="s">
        <v>59</v>
      </c>
      <c r="C2" t="s">
        <v>14</v>
      </c>
      <c r="D2" t="s">
        <v>71</v>
      </c>
    </row>
    <row r="3" spans="1:4" ht="14.25" customHeight="1" x14ac:dyDescent="0.45">
      <c r="A3" s="33" t="s">
        <v>18</v>
      </c>
      <c r="B3" s="32">
        <f>Kostnadsmodeller!P7</f>
        <v>96923.357142857159</v>
      </c>
      <c r="C3" s="21">
        <f>Ruter!O7</f>
        <v>3</v>
      </c>
      <c r="D3" s="34">
        <f>Ruter!M7</f>
        <v>182.34047619047621</v>
      </c>
    </row>
    <row r="4" spans="1:4" ht="14.25" customHeight="1" x14ac:dyDescent="0.45">
      <c r="A4" s="35" t="s">
        <v>37</v>
      </c>
      <c r="B4" s="32">
        <f>Kostnadsmodeller!P15</f>
        <v>85751.500000000015</v>
      </c>
      <c r="C4" s="21">
        <f>Ruter!O15</f>
        <v>2</v>
      </c>
      <c r="D4" s="34">
        <f>Ruter!M15</f>
        <v>172.65000000000003</v>
      </c>
    </row>
    <row r="5" spans="1:4" ht="14.25" customHeight="1" x14ac:dyDescent="0.45">
      <c r="A5" s="20" t="s">
        <v>43</v>
      </c>
      <c r="B5" s="32">
        <f>Kostnadsmodeller!P26</f>
        <v>98574.21428571429</v>
      </c>
      <c r="C5">
        <f>Ruter!O26</f>
        <v>2</v>
      </c>
      <c r="D5">
        <f>Ruter!M26</f>
        <v>209.53095238095239</v>
      </c>
    </row>
    <row r="6" spans="1:4" ht="14.25" customHeight="1" x14ac:dyDescent="0.45">
      <c r="A6" s="36" t="s">
        <v>47</v>
      </c>
      <c r="B6" s="32">
        <f>Kostnadsmodeller!P35</f>
        <v>91974.21428571429</v>
      </c>
      <c r="C6">
        <f>Ruter!O36</f>
        <v>2</v>
      </c>
      <c r="D6">
        <f>Ruter!M36</f>
        <v>177.53095238095239</v>
      </c>
    </row>
    <row r="7" spans="1:4" ht="14.25" customHeight="1" x14ac:dyDescent="0.45">
      <c r="A7" t="s">
        <v>50</v>
      </c>
      <c r="B7" s="32">
        <f>Kostnadsmodeller!P43</f>
        <v>149028.71428571426</v>
      </c>
      <c r="C7">
        <f>Ruter!O43</f>
        <v>2</v>
      </c>
      <c r="D7">
        <f>Ruter!M43</f>
        <v>292.36883116883115</v>
      </c>
    </row>
    <row r="8" spans="1:4" x14ac:dyDescent="0.45">
      <c r="A8" s="44" t="s">
        <v>53</v>
      </c>
      <c r="B8" s="43">
        <f>Kostnadsmodeller!P50</f>
        <v>88388.112903225803</v>
      </c>
      <c r="C8">
        <f>Ruter!O49</f>
        <v>1</v>
      </c>
      <c r="D8">
        <f>Ruter!M49</f>
        <v>141.21428571428572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tabSelected="1" zoomScale="55" zoomScaleNormal="76" workbookViewId="0">
      <pane ySplit="3" topLeftCell="A7" activePane="bottomLeft" state="frozen"/>
      <selection pane="bottomLeft" activeCell="E48" sqref="E48"/>
    </sheetView>
  </sheetViews>
  <sheetFormatPr defaultColWidth="8.46484375" defaultRowHeight="14.25" x14ac:dyDescent="0.45"/>
  <cols>
    <col min="1" max="1" width="22" customWidth="1"/>
    <col min="2" max="2" width="30.265625" customWidth="1"/>
    <col min="3" max="3" width="22" customWidth="1"/>
    <col min="4" max="4" width="41" bestFit="1" customWidth="1"/>
    <col min="5" max="5" width="38" customWidth="1"/>
    <col min="6" max="6" width="35" customWidth="1"/>
  </cols>
  <sheetData>
    <row r="1" spans="1:9" ht="17.25" customHeight="1" x14ac:dyDescent="0.5">
      <c r="A1" s="3" t="s">
        <v>72</v>
      </c>
    </row>
    <row r="2" spans="1:9" ht="15" customHeight="1" x14ac:dyDescent="0.45">
      <c r="A2" s="2" t="s">
        <v>73</v>
      </c>
    </row>
    <row r="4" spans="1:9" ht="15" customHeight="1" x14ac:dyDescent="0.45">
      <c r="A4" s="1" t="s">
        <v>74</v>
      </c>
    </row>
    <row r="5" spans="1:9" ht="15" customHeight="1" x14ac:dyDescent="0.45">
      <c r="A5" s="37" t="s">
        <v>4</v>
      </c>
      <c r="B5" s="37" t="s">
        <v>75</v>
      </c>
      <c r="C5" s="37" t="s">
        <v>76</v>
      </c>
      <c r="D5" s="37" t="s">
        <v>77</v>
      </c>
      <c r="E5" s="37"/>
    </row>
    <row r="6" spans="1:9" ht="15" customHeight="1" x14ac:dyDescent="0.45">
      <c r="A6" s="38" t="s">
        <v>20</v>
      </c>
      <c r="B6" s="38" t="s">
        <v>79</v>
      </c>
      <c r="C6" s="39">
        <v>0.12</v>
      </c>
      <c r="D6" s="38" t="s">
        <v>80</v>
      </c>
      <c r="E6" s="38"/>
    </row>
    <row r="7" spans="1:9" ht="15" customHeight="1" x14ac:dyDescent="0.45">
      <c r="A7" s="38" t="s">
        <v>81</v>
      </c>
      <c r="B7" s="38" t="s">
        <v>79</v>
      </c>
      <c r="C7" s="39">
        <v>0.15</v>
      </c>
      <c r="D7" s="38" t="s">
        <v>82</v>
      </c>
      <c r="E7" s="38"/>
    </row>
    <row r="8" spans="1:9" ht="15" customHeight="1" x14ac:dyDescent="0.45">
      <c r="A8" s="38" t="s">
        <v>39</v>
      </c>
      <c r="B8" s="38" t="s">
        <v>79</v>
      </c>
      <c r="C8" s="39">
        <v>0.2</v>
      </c>
      <c r="D8" s="38" t="s">
        <v>83</v>
      </c>
      <c r="E8" s="38"/>
    </row>
    <row r="9" spans="1:9" ht="15" customHeight="1" x14ac:dyDescent="0.45">
      <c r="A9" s="38" t="s">
        <v>26</v>
      </c>
      <c r="B9" s="38" t="s">
        <v>79</v>
      </c>
      <c r="C9" s="39">
        <v>0.08</v>
      </c>
      <c r="D9" s="38" t="s">
        <v>84</v>
      </c>
      <c r="E9" s="38"/>
    </row>
    <row r="10" spans="1:9" ht="15" customHeight="1" x14ac:dyDescent="0.45"/>
    <row r="11" spans="1:9" ht="15" customHeight="1" x14ac:dyDescent="0.45">
      <c r="I11" s="50"/>
    </row>
    <row r="12" spans="1:9" ht="15" customHeight="1" x14ac:dyDescent="0.45">
      <c r="A12" s="1" t="s">
        <v>85</v>
      </c>
    </row>
    <row r="13" spans="1:9" ht="14.25" customHeight="1" x14ac:dyDescent="0.45">
      <c r="A13" s="37" t="s">
        <v>86</v>
      </c>
      <c r="B13" s="37" t="s">
        <v>87</v>
      </c>
      <c r="C13" s="37" t="s">
        <v>88</v>
      </c>
      <c r="D13" s="37" t="s">
        <v>89</v>
      </c>
      <c r="E13" s="37" t="s">
        <v>77</v>
      </c>
      <c r="F13" s="37" t="s">
        <v>78</v>
      </c>
    </row>
    <row r="14" spans="1:9" ht="14.25" customHeight="1" x14ac:dyDescent="0.45">
      <c r="A14" s="38" t="s">
        <v>20</v>
      </c>
      <c r="B14" s="40">
        <v>6</v>
      </c>
      <c r="C14" s="40">
        <v>12</v>
      </c>
      <c r="D14" s="40">
        <v>24</v>
      </c>
      <c r="E14" s="38" t="s">
        <v>90</v>
      </c>
      <c r="F14" s="38" t="s">
        <v>91</v>
      </c>
    </row>
    <row r="15" spans="1:9" ht="15" customHeight="1" x14ac:dyDescent="0.45">
      <c r="A15" s="38" t="s">
        <v>81</v>
      </c>
      <c r="B15" s="40">
        <v>8</v>
      </c>
      <c r="C15" s="40">
        <v>12</v>
      </c>
      <c r="D15" s="40">
        <v>24</v>
      </c>
      <c r="E15" s="38" t="s">
        <v>92</v>
      </c>
      <c r="F15" s="38" t="s">
        <v>93</v>
      </c>
    </row>
    <row r="16" spans="1:9" ht="15" customHeight="1" x14ac:dyDescent="0.45">
      <c r="A16" s="38" t="s">
        <v>39</v>
      </c>
      <c r="B16" s="40">
        <v>3</v>
      </c>
      <c r="C16" s="40">
        <v>6</v>
      </c>
      <c r="D16" s="40">
        <v>12</v>
      </c>
      <c r="E16" s="38" t="s">
        <v>94</v>
      </c>
      <c r="F16" s="38" t="s">
        <v>95</v>
      </c>
    </row>
    <row r="17" spans="1:6" ht="15" customHeight="1" x14ac:dyDescent="0.45">
      <c r="A17" s="38" t="s">
        <v>26</v>
      </c>
      <c r="B17" s="40">
        <v>2</v>
      </c>
      <c r="C17" s="40">
        <v>4</v>
      </c>
      <c r="D17" s="40">
        <v>8</v>
      </c>
      <c r="E17" s="38" t="s">
        <v>96</v>
      </c>
      <c r="F17" s="38" t="s">
        <v>97</v>
      </c>
    </row>
    <row r="18" spans="1:6" ht="15" customHeight="1" x14ac:dyDescent="0.45"/>
    <row r="19" spans="1:6" ht="15" customHeight="1" x14ac:dyDescent="0.45"/>
    <row r="20" spans="1:6" ht="15" customHeight="1" x14ac:dyDescent="0.45">
      <c r="A20" s="1" t="s">
        <v>98</v>
      </c>
    </row>
    <row r="21" spans="1:6" ht="15" customHeight="1" x14ac:dyDescent="0.45">
      <c r="A21" s="2" t="s">
        <v>99</v>
      </c>
    </row>
    <row r="22" spans="1:6" ht="15" customHeight="1" x14ac:dyDescent="0.45">
      <c r="A22" s="37" t="s">
        <v>4</v>
      </c>
      <c r="B22" s="37" t="s">
        <v>100</v>
      </c>
      <c r="C22" s="37" t="s">
        <v>101</v>
      </c>
      <c r="D22" s="37" t="s">
        <v>78</v>
      </c>
    </row>
    <row r="23" spans="1:6" ht="15" customHeight="1" x14ac:dyDescent="0.45">
      <c r="A23" s="38" t="s">
        <v>20</v>
      </c>
      <c r="B23" s="40">
        <v>68</v>
      </c>
      <c r="C23" s="38" t="s">
        <v>102</v>
      </c>
      <c r="D23" s="38" t="s">
        <v>103</v>
      </c>
    </row>
    <row r="24" spans="1:6" ht="14.25" customHeight="1" x14ac:dyDescent="0.45">
      <c r="A24" s="38" t="s">
        <v>81</v>
      </c>
      <c r="B24" s="40">
        <v>68</v>
      </c>
      <c r="C24" s="38" t="s">
        <v>104</v>
      </c>
      <c r="D24" s="38" t="s">
        <v>105</v>
      </c>
    </row>
    <row r="25" spans="1:6" ht="14.25" customHeight="1" x14ac:dyDescent="0.45">
      <c r="A25" s="38" t="s">
        <v>39</v>
      </c>
      <c r="B25" s="40">
        <v>48</v>
      </c>
      <c r="C25" s="38" t="s">
        <v>106</v>
      </c>
      <c r="D25" s="38" t="s">
        <v>107</v>
      </c>
    </row>
    <row r="26" spans="1:6" ht="15" customHeight="1" x14ac:dyDescent="0.45">
      <c r="A26" s="38" t="s">
        <v>26</v>
      </c>
      <c r="B26" s="40">
        <v>0</v>
      </c>
      <c r="C26" s="38" t="s">
        <v>108</v>
      </c>
      <c r="D26" s="38" t="s">
        <v>97</v>
      </c>
    </row>
    <row r="27" spans="1:6" ht="27.75" customHeight="1" x14ac:dyDescent="0.45"/>
    <row r="28" spans="1:6" ht="15" customHeight="1" x14ac:dyDescent="0.45"/>
    <row r="29" spans="1:6" ht="15" customHeight="1" x14ac:dyDescent="0.45">
      <c r="A29" s="10" t="s">
        <v>109</v>
      </c>
    </row>
    <row r="30" spans="1:6" ht="15" customHeight="1" x14ac:dyDescent="0.45">
      <c r="A30" s="41" t="s">
        <v>110</v>
      </c>
      <c r="B30" s="41" t="s">
        <v>87</v>
      </c>
      <c r="C30" s="41" t="s">
        <v>4</v>
      </c>
      <c r="D30" s="41" t="s">
        <v>89</v>
      </c>
      <c r="E30" s="41" t="s">
        <v>77</v>
      </c>
      <c r="F30" s="41" t="s">
        <v>78</v>
      </c>
    </row>
    <row r="31" spans="1:6" ht="15" customHeight="1" x14ac:dyDescent="0.45">
      <c r="A31" s="38" t="s">
        <v>111</v>
      </c>
      <c r="B31" s="45">
        <v>0.25</v>
      </c>
      <c r="C31" s="45">
        <v>0.5</v>
      </c>
      <c r="D31" s="45">
        <v>1</v>
      </c>
      <c r="E31" s="38" t="s">
        <v>112</v>
      </c>
      <c r="F31" s="38" t="s">
        <v>113</v>
      </c>
    </row>
    <row r="32" spans="1:6" ht="15" customHeight="1" x14ac:dyDescent="0.45">
      <c r="A32" s="38" t="s">
        <v>114</v>
      </c>
      <c r="B32" s="45">
        <v>0.5</v>
      </c>
      <c r="C32" s="45">
        <v>1.5</v>
      </c>
      <c r="D32" s="45">
        <v>3</v>
      </c>
      <c r="E32" s="38" t="s">
        <v>115</v>
      </c>
      <c r="F32" s="38" t="s">
        <v>116</v>
      </c>
    </row>
    <row r="33" spans="1:6" ht="15" customHeight="1" x14ac:dyDescent="0.45">
      <c r="A33" s="38" t="s">
        <v>117</v>
      </c>
      <c r="B33" s="45">
        <v>1</v>
      </c>
      <c r="C33" s="45">
        <v>1.5</v>
      </c>
      <c r="D33" s="45">
        <v>3</v>
      </c>
      <c r="E33" s="38" t="s">
        <v>118</v>
      </c>
      <c r="F33" s="38" t="s">
        <v>119</v>
      </c>
    </row>
    <row r="34" spans="1:6" ht="15" customHeight="1" x14ac:dyDescent="0.45">
      <c r="A34" t="s">
        <v>120</v>
      </c>
      <c r="B34">
        <v>3</v>
      </c>
      <c r="C34">
        <v>4.4000000000000004</v>
      </c>
      <c r="D34">
        <v>8</v>
      </c>
      <c r="E34" t="s">
        <v>121</v>
      </c>
      <c r="F34" t="s">
        <v>122</v>
      </c>
    </row>
    <row r="35" spans="1:6" ht="15" customHeight="1" x14ac:dyDescent="0.45">
      <c r="A35" t="s">
        <v>123</v>
      </c>
      <c r="B35">
        <v>0.5</v>
      </c>
      <c r="C35">
        <v>1</v>
      </c>
      <c r="D35">
        <v>2</v>
      </c>
      <c r="E35" t="s">
        <v>124</v>
      </c>
      <c r="F35" t="s">
        <v>125</v>
      </c>
    </row>
    <row r="36" spans="1:6" ht="15" customHeight="1" x14ac:dyDescent="0.45">
      <c r="A36" s="1" t="s">
        <v>126</v>
      </c>
      <c r="B36">
        <v>0.5</v>
      </c>
      <c r="C36">
        <v>1</v>
      </c>
      <c r="D36">
        <v>2</v>
      </c>
      <c r="E36" t="s">
        <v>127</v>
      </c>
      <c r="F36" t="s">
        <v>125</v>
      </c>
    </row>
    <row r="37" spans="1:6" ht="14.25" customHeight="1" x14ac:dyDescent="0.45">
      <c r="A37" s="2" t="s">
        <v>128</v>
      </c>
      <c r="B37">
        <v>0.25</v>
      </c>
      <c r="C37">
        <v>0.5</v>
      </c>
      <c r="D37">
        <v>1</v>
      </c>
      <c r="E37" t="s">
        <v>129</v>
      </c>
      <c r="F37" t="s">
        <v>113</v>
      </c>
    </row>
    <row r="38" spans="1:6" ht="15" customHeight="1" x14ac:dyDescent="0.45">
      <c r="A38" s="46" t="s">
        <v>130</v>
      </c>
      <c r="B38">
        <v>0.25</v>
      </c>
      <c r="C38">
        <v>0.5</v>
      </c>
      <c r="D38">
        <v>1</v>
      </c>
      <c r="E38" t="s">
        <v>131</v>
      </c>
      <c r="F38" t="s">
        <v>113</v>
      </c>
    </row>
    <row r="39" spans="1:6" ht="15" customHeight="1" x14ac:dyDescent="0.45">
      <c r="A39" s="38" t="s">
        <v>132</v>
      </c>
      <c r="B39" s="45">
        <v>0.25</v>
      </c>
      <c r="C39" s="45">
        <v>0.5</v>
      </c>
      <c r="D39" s="45">
        <v>1</v>
      </c>
      <c r="E39" s="45" t="s">
        <v>133</v>
      </c>
      <c r="F39" s="38" t="s">
        <v>113</v>
      </c>
    </row>
    <row r="40" spans="1:6" ht="15" customHeight="1" x14ac:dyDescent="0.45">
      <c r="A40" s="38" t="s">
        <v>134</v>
      </c>
      <c r="B40" s="45">
        <v>0.5</v>
      </c>
      <c r="C40" s="45">
        <v>1.5</v>
      </c>
      <c r="D40" s="45">
        <v>3</v>
      </c>
      <c r="E40" s="45" t="s">
        <v>135</v>
      </c>
      <c r="F40" s="38" t="s">
        <v>113</v>
      </c>
    </row>
    <row r="41" spans="1:6" ht="15" customHeight="1" x14ac:dyDescent="0.45">
      <c r="A41" s="38"/>
      <c r="B41" s="45"/>
      <c r="C41" s="45"/>
      <c r="D41" s="45"/>
      <c r="E41" s="45"/>
      <c r="F41" s="38"/>
    </row>
    <row r="42" spans="1:6" ht="15" customHeight="1" x14ac:dyDescent="0.45">
      <c r="A42" s="38"/>
      <c r="B42" s="45"/>
      <c r="C42" s="45"/>
      <c r="D42" s="45"/>
      <c r="E42" s="45"/>
      <c r="F42" s="38"/>
    </row>
    <row r="45" spans="1:6" ht="15" customHeight="1" x14ac:dyDescent="0.45">
      <c r="A45" s="1" t="s">
        <v>136</v>
      </c>
    </row>
    <row r="46" spans="1:6" ht="27.75" customHeight="1" x14ac:dyDescent="0.45">
      <c r="A46" s="37" t="s">
        <v>137</v>
      </c>
    </row>
    <row r="47" spans="1:6" ht="15" customHeight="1" x14ac:dyDescent="0.45">
      <c r="A47" s="38" t="s">
        <v>138</v>
      </c>
      <c r="B47" s="40">
        <v>10000</v>
      </c>
      <c r="C47" s="38" t="s">
        <v>139</v>
      </c>
    </row>
    <row r="48" spans="1:6" ht="15" customHeight="1" x14ac:dyDescent="0.45">
      <c r="A48" s="38" t="s">
        <v>140</v>
      </c>
      <c r="B48" s="40">
        <v>42</v>
      </c>
      <c r="C48" s="38" t="s">
        <v>141</v>
      </c>
    </row>
    <row r="49" spans="1:6" ht="15" customHeight="1" x14ac:dyDescent="0.45">
      <c r="A49" s="38" t="s">
        <v>142</v>
      </c>
      <c r="B49" s="40">
        <v>0</v>
      </c>
      <c r="C49" s="38" t="s">
        <v>143</v>
      </c>
    </row>
    <row r="50" spans="1:6" ht="15" customHeight="1" x14ac:dyDescent="0.45"/>
    <row r="51" spans="1:6" ht="15" customHeight="1" x14ac:dyDescent="0.45"/>
    <row r="52" spans="1:6" ht="15" customHeight="1" x14ac:dyDescent="0.45"/>
    <row r="53" spans="1:6" ht="15" customHeight="1" x14ac:dyDescent="0.45"/>
    <row r="54" spans="1:6" ht="15" customHeight="1" x14ac:dyDescent="0.45"/>
    <row r="57" spans="1:6" ht="15" customHeight="1" x14ac:dyDescent="0.45"/>
    <row r="58" spans="1:6" ht="15" customHeight="1" x14ac:dyDescent="0.45"/>
    <row r="59" spans="1:6" ht="15" customHeight="1" x14ac:dyDescent="0.45"/>
    <row r="60" spans="1:6" ht="15" customHeight="1" x14ac:dyDescent="0.45">
      <c r="A60" s="10" t="s">
        <v>144</v>
      </c>
    </row>
    <row r="61" spans="1:6" ht="15" customHeight="1" x14ac:dyDescent="0.45">
      <c r="A61" t="s">
        <v>145</v>
      </c>
    </row>
    <row r="62" spans="1:6" ht="14.25" customHeight="1" x14ac:dyDescent="0.45">
      <c r="A62" s="10" t="s">
        <v>4</v>
      </c>
      <c r="B62" s="10" t="s">
        <v>87</v>
      </c>
      <c r="C62" s="10" t="s">
        <v>4</v>
      </c>
      <c r="D62" s="10" t="s">
        <v>89</v>
      </c>
      <c r="E62" s="10" t="s">
        <v>77</v>
      </c>
      <c r="F62" s="10" t="s">
        <v>78</v>
      </c>
    </row>
    <row r="63" spans="1:6" ht="14.25" customHeight="1" x14ac:dyDescent="0.45">
      <c r="A63" t="s">
        <v>146</v>
      </c>
      <c r="B63" s="42">
        <v>1</v>
      </c>
      <c r="C63" s="42">
        <v>3</v>
      </c>
      <c r="D63" s="42">
        <v>6</v>
      </c>
      <c r="E63" t="s">
        <v>147</v>
      </c>
      <c r="F63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B11" sqref="B11"/>
    </sheetView>
  </sheetViews>
  <sheetFormatPr defaultColWidth="8.46484375" defaultRowHeight="14.25" x14ac:dyDescent="0.45"/>
  <cols>
    <col min="1" max="1" width="30" customWidth="1"/>
    <col min="2" max="2" width="14" customWidth="1"/>
    <col min="3" max="3" width="16" customWidth="1"/>
    <col min="4" max="4" width="50" customWidth="1"/>
  </cols>
  <sheetData>
    <row r="1" spans="1:4" ht="17.25" customHeight="1" x14ac:dyDescent="0.5">
      <c r="A1" s="47" t="s">
        <v>149</v>
      </c>
      <c r="B1" s="47"/>
      <c r="C1" s="47"/>
      <c r="D1" s="47"/>
    </row>
    <row r="2" spans="1:4" ht="15" customHeight="1" x14ac:dyDescent="0.45">
      <c r="A2" s="48" t="s">
        <v>150</v>
      </c>
      <c r="B2" s="48"/>
      <c r="C2" s="48"/>
      <c r="D2" s="48"/>
    </row>
    <row r="4" spans="1:4" ht="15" customHeight="1" x14ac:dyDescent="0.45">
      <c r="A4" s="37" t="s">
        <v>137</v>
      </c>
      <c r="B4" s="37" t="s">
        <v>151</v>
      </c>
      <c r="C4" s="37" t="s">
        <v>152</v>
      </c>
      <c r="D4" s="37" t="s">
        <v>78</v>
      </c>
    </row>
    <row r="5" spans="1:4" ht="15" customHeight="1" x14ac:dyDescent="0.45">
      <c r="A5" s="38" t="s">
        <v>153</v>
      </c>
      <c r="B5" s="40">
        <v>330</v>
      </c>
      <c r="C5" s="38" t="s">
        <v>154</v>
      </c>
      <c r="D5" s="38" t="s">
        <v>155</v>
      </c>
    </row>
    <row r="6" spans="1:4" ht="15" customHeight="1" x14ac:dyDescent="0.45">
      <c r="A6" s="38" t="s">
        <v>156</v>
      </c>
      <c r="B6" s="40">
        <v>0.8</v>
      </c>
      <c r="C6" s="38" t="s">
        <v>157</v>
      </c>
      <c r="D6" s="38" t="s">
        <v>158</v>
      </c>
    </row>
    <row r="7" spans="1:4" ht="15" customHeight="1" x14ac:dyDescent="0.45">
      <c r="A7" s="38" t="s">
        <v>159</v>
      </c>
      <c r="B7" s="40">
        <v>0.5</v>
      </c>
      <c r="C7" s="38" t="s">
        <v>160</v>
      </c>
      <c r="D7" s="38" t="s">
        <v>161</v>
      </c>
    </row>
    <row r="8" spans="1:4" ht="15" customHeight="1" x14ac:dyDescent="0.45">
      <c r="A8" s="38" t="s">
        <v>162</v>
      </c>
      <c r="B8" s="40">
        <v>0.75</v>
      </c>
      <c r="C8" s="38" t="s">
        <v>160</v>
      </c>
      <c r="D8" s="38" t="s">
        <v>163</v>
      </c>
    </row>
    <row r="9" spans="1:4" ht="15" customHeight="1" x14ac:dyDescent="0.45">
      <c r="A9" s="38" t="s">
        <v>164</v>
      </c>
      <c r="B9" s="40">
        <v>7</v>
      </c>
      <c r="C9" s="38" t="s">
        <v>165</v>
      </c>
      <c r="D9" s="38" t="s">
        <v>166</v>
      </c>
    </row>
    <row r="10" spans="1:4" ht="15" customHeight="1" x14ac:dyDescent="0.45">
      <c r="A10" s="38" t="s">
        <v>167</v>
      </c>
      <c r="B10" s="40">
        <v>0</v>
      </c>
      <c r="C10" s="38" t="s">
        <v>168</v>
      </c>
      <c r="D10" s="38" t="s">
        <v>169</v>
      </c>
    </row>
    <row r="11" spans="1:4" ht="15" customHeight="1" x14ac:dyDescent="0.45">
      <c r="A11" s="38" t="s">
        <v>170</v>
      </c>
      <c r="B11" s="40">
        <v>1000</v>
      </c>
      <c r="C11" s="38" t="s">
        <v>168</v>
      </c>
      <c r="D11" s="38" t="s">
        <v>169</v>
      </c>
    </row>
    <row r="12" spans="1:4" ht="15" customHeight="1" x14ac:dyDescent="0.45">
      <c r="A12" s="38" t="s">
        <v>171</v>
      </c>
      <c r="B12" s="40">
        <v>24</v>
      </c>
      <c r="C12" s="38" t="s">
        <v>172</v>
      </c>
      <c r="D12" s="38" t="s">
        <v>173</v>
      </c>
    </row>
    <row r="15" spans="1:4" ht="15" customHeight="1" x14ac:dyDescent="0.45">
      <c r="A15" s="49" t="s">
        <v>174</v>
      </c>
      <c r="B15" s="49"/>
      <c r="C15" s="49"/>
      <c r="D15" s="49"/>
    </row>
    <row r="16" spans="1:4" ht="15" customHeight="1" x14ac:dyDescent="0.45">
      <c r="A16" s="48" t="s">
        <v>175</v>
      </c>
      <c r="B16" s="48"/>
      <c r="C16" s="48"/>
      <c r="D16" s="48"/>
    </row>
    <row r="17" spans="1:4" ht="15" customHeight="1" x14ac:dyDescent="0.45">
      <c r="A17" s="48" t="s">
        <v>176</v>
      </c>
      <c r="B17" s="48"/>
      <c r="C17" s="48"/>
      <c r="D17" s="48"/>
    </row>
  </sheetData>
  <mergeCells count="5">
    <mergeCell ref="A1:D1"/>
    <mergeCell ref="A2:D2"/>
    <mergeCell ref="A15:D15"/>
    <mergeCell ref="A16:D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Ruter</vt:lpstr>
      <vt:lpstr>Kostnadsmodeller</vt:lpstr>
      <vt:lpstr>Charts</vt:lpstr>
      <vt:lpstr>Stokastiske_parametere</vt:lpstr>
      <vt:lpstr>Kostnadsparametere_MC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 Ose</dc:creator>
  <dc:description/>
  <cp:lastModifiedBy>Herman Ose</cp:lastModifiedBy>
  <cp:revision>18</cp:revision>
  <dcterms:created xsi:type="dcterms:W3CDTF">2026-03-23T15:15:41Z</dcterms:created>
  <dcterms:modified xsi:type="dcterms:W3CDTF">2026-05-26T09:10:27Z</dcterms:modified>
  <dc:language>en-US</dc:language>
</cp:coreProperties>
</file>